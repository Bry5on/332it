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/Desktop/s54 wagon/Suspension and Corner Balance/"/>
    </mc:Choice>
  </mc:AlternateContent>
  <xr:revisionPtr revIDLastSave="0" documentId="13_ncr:1_{A33A8056-5E0A-104A-B91E-0583DF386D49}" xr6:coauthVersionLast="47" xr6:coauthVersionMax="47" xr10:uidLastSave="{00000000-0000-0000-0000-000000000000}"/>
  <bookViews>
    <workbookView xWindow="0" yWindow="760" windowWidth="28800" windowHeight="17500" xr2:uid="{B93094E1-BA2D-0C45-9CAA-35A796EDB315}"/>
  </bookViews>
  <sheets>
    <sheet name="CG and Roll" sheetId="1" r:id="rId1"/>
    <sheet name="Roll Center Heights" sheetId="2" r:id="rId2"/>
  </sheets>
  <definedNames>
    <definedName name="cgm">'CG and Roll'!#REF!</definedName>
    <definedName name="m_1">'CG and Roll'!#REF!</definedName>
    <definedName name="m_2">'CG and Roll'!#REF!</definedName>
    <definedName name="x_1">'CG and Roll'!#REF!</definedName>
    <definedName name="xcm">'CG and Roll'!$C$17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O44" i="1"/>
  <c r="O43" i="1"/>
  <c r="O42" i="1"/>
  <c r="O41" i="1"/>
  <c r="O26" i="1"/>
  <c r="O40" i="1"/>
  <c r="O39" i="1"/>
  <c r="O37" i="1"/>
  <c r="O36" i="1"/>
  <c r="O38" i="1"/>
  <c r="O47" i="1"/>
  <c r="O27" i="1"/>
  <c r="O24" i="1"/>
  <c r="O22" i="1"/>
  <c r="O21" i="1"/>
  <c r="O25" i="1"/>
  <c r="C9" i="1"/>
  <c r="C51" i="1"/>
  <c r="E51" i="1" s="1"/>
  <c r="E11" i="1"/>
  <c r="E13" i="1"/>
  <c r="E12" i="1"/>
  <c r="E14" i="1"/>
  <c r="I13" i="1"/>
  <c r="E10" i="1"/>
  <c r="J10" i="1"/>
  <c r="J12" i="1"/>
  <c r="C69" i="1"/>
  <c r="I76" i="1"/>
  <c r="I77" i="1"/>
  <c r="C117" i="1"/>
  <c r="C118" i="1"/>
  <c r="C116" i="1"/>
  <c r="C83" i="1"/>
  <c r="C48" i="1"/>
  <c r="O28" i="1"/>
  <c r="O31" i="1"/>
  <c r="O32" i="1"/>
  <c r="O33" i="1"/>
  <c r="O34" i="1"/>
  <c r="O35" i="1"/>
  <c r="O23" i="1"/>
  <c r="O29" i="1"/>
  <c r="O30" i="1"/>
  <c r="D6" i="1"/>
  <c r="C6" i="1"/>
  <c r="E58" i="1"/>
  <c r="F5" i="1"/>
  <c r="F4" i="1"/>
  <c r="E59" i="1"/>
  <c r="C52" i="1" s="1"/>
  <c r="I12" i="1"/>
  <c r="J78" i="1"/>
  <c r="I78" i="1"/>
  <c r="J13" i="1"/>
  <c r="I11" i="1"/>
  <c r="J11" i="1"/>
  <c r="I10" i="1"/>
  <c r="D58" i="1"/>
  <c r="I79" i="1"/>
  <c r="D59" i="1"/>
  <c r="H53" i="1" s="1"/>
  <c r="C58" i="1"/>
  <c r="O58" i="1"/>
  <c r="C59" i="1"/>
  <c r="H51" i="1" s="1"/>
  <c r="C70" i="1" l="1"/>
  <c r="C9" i="2"/>
  <c r="C53" i="1"/>
  <c r="C8" i="2"/>
  <c r="C10" i="2"/>
  <c r="C33" i="2"/>
  <c r="C29" i="2"/>
  <c r="C5" i="2"/>
  <c r="C74" i="1"/>
  <c r="C77" i="1" s="1"/>
  <c r="E77" i="1" s="1"/>
  <c r="C28" i="2"/>
  <c r="C7" i="2"/>
  <c r="D7" i="2" s="1"/>
  <c r="C30" i="2"/>
  <c r="D30" i="2" s="1"/>
  <c r="C6" i="2"/>
  <c r="C32" i="2"/>
  <c r="C31" i="2"/>
  <c r="H54" i="1"/>
  <c r="C55" i="1"/>
  <c r="H52" i="1"/>
  <c r="C71" i="1"/>
  <c r="C54" i="1"/>
  <c r="O59" i="1"/>
  <c r="D6" i="2" l="1"/>
  <c r="C76" i="1"/>
  <c r="E76" i="1" s="1"/>
  <c r="D63" i="1"/>
  <c r="D10" i="2"/>
  <c r="D5" i="2"/>
  <c r="D9" i="2"/>
  <c r="D28" i="2"/>
  <c r="C78" i="1"/>
  <c r="E78" i="1" s="1"/>
  <c r="C63" i="1"/>
  <c r="C64" i="1"/>
  <c r="D8" i="2"/>
  <c r="D31" i="2"/>
  <c r="D64" i="1"/>
  <c r="D29" i="2"/>
  <c r="D33" i="2"/>
  <c r="D32" i="2"/>
  <c r="D65" i="1" l="1"/>
  <c r="D66" i="1" s="1"/>
  <c r="E116" i="1"/>
  <c r="E118" i="1"/>
  <c r="E117" i="1"/>
  <c r="D118" i="1"/>
  <c r="D116" i="1"/>
  <c r="D117" i="1"/>
  <c r="F64" i="1"/>
  <c r="G64" i="1" s="1"/>
  <c r="D123" i="1"/>
  <c r="D121" i="1"/>
  <c r="E123" i="1"/>
  <c r="I85" i="1"/>
  <c r="N85" i="1" s="1"/>
  <c r="E122" i="1"/>
  <c r="C65" i="1"/>
  <c r="C66" i="1" s="1"/>
  <c r="I86" i="1"/>
  <c r="I87" i="1"/>
  <c r="D122" i="1"/>
  <c r="E121" i="1"/>
  <c r="F63" i="1"/>
  <c r="G63" i="1" s="1"/>
  <c r="F121" i="1" l="1"/>
  <c r="C85" i="1" s="1"/>
  <c r="C88" i="1" s="1"/>
  <c r="F122" i="1"/>
  <c r="C86" i="1" s="1"/>
  <c r="C89" i="1" s="1"/>
  <c r="C95" i="1" s="1"/>
  <c r="C99" i="1" s="1"/>
  <c r="F116" i="1"/>
  <c r="D85" i="1"/>
  <c r="D88" i="1" s="1"/>
  <c r="D87" i="1"/>
  <c r="D90" i="1" s="1"/>
  <c r="F118" i="1"/>
  <c r="E94" i="1"/>
  <c r="E98" i="1" s="1"/>
  <c r="C94" i="1"/>
  <c r="C98" i="1" s="1"/>
  <c r="F123" i="1"/>
  <c r="C87" i="1" s="1"/>
  <c r="C90" i="1" s="1"/>
  <c r="F117" i="1"/>
  <c r="D86" i="1"/>
  <c r="D89" i="1" s="1"/>
  <c r="L92" i="1"/>
  <c r="E95" i="1" l="1"/>
  <c r="E99" i="1" s="1"/>
  <c r="E96" i="1"/>
  <c r="E100" i="1" s="1"/>
  <c r="C96" i="1"/>
  <c r="C100" i="1" s="1"/>
  <c r="F95" i="1"/>
  <c r="F99" i="1" s="1"/>
  <c r="D95" i="1"/>
  <c r="D99" i="1" s="1"/>
  <c r="M92" i="1"/>
  <c r="D96" i="1"/>
  <c r="D100" i="1" s="1"/>
  <c r="F96" i="1"/>
  <c r="F100" i="1" s="1"/>
  <c r="D94" i="1"/>
  <c r="D98" i="1" s="1"/>
  <c r="F94" i="1"/>
  <c r="F9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Bryson Gentile</author>
    <author>tc={E839F23A-0C0D-214B-A707-CC4040AFC93B}</author>
    <author>tc={659CD4A8-8FF3-EA4E-AF99-31404B589A4F}</author>
  </authors>
  <commentList>
    <comment ref="C75" authorId="0" shapeId="0" xr:uid="{49170DD4-7F59-544B-9BC5-B9835BB29083}">
      <text>
        <r>
          <rPr>
            <b/>
            <sz val="10"/>
            <color rgb="FF000000"/>
            <rFont val="Tahoma"/>
            <family val="2"/>
          </rPr>
          <t>Bryson Gentile: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Cab-F/CSL-R sways and stock springs = 2779
</t>
        </r>
        <r>
          <rPr>
            <sz val="10"/>
            <color rgb="FF000000"/>
            <rFont val="Tahoma"/>
            <family val="2"/>
          </rPr>
          <t xml:space="preserve">Hotchkis-S-F/CSL-R sways and " " = 2860
</t>
        </r>
        <r>
          <rPr>
            <sz val="10"/>
            <color rgb="FF000000"/>
            <rFont val="Tahoma"/>
            <family val="2"/>
          </rPr>
          <t>Stock everything = 2496</t>
        </r>
      </text>
    </comment>
    <comment ref="D83" authorId="1" shapeId="0" xr:uid="{E839F23A-0C0D-214B-A707-CC4040AFC93B}">
      <text>
        <t>[Threaded comment]
Your version of Excel allows you to read this threaded comment; however, any edits to it will get removed if the file is opened in a newer version of Excel. Learn more: https://go.microsoft.com/fwlink/?linkid=870924
Comment:
    11.18 stock, 5.5 -70mm rear lower link
Reply:
    Got this wrong. It’s 5.2”</t>
      </text>
    </comment>
    <comment ref="D84" authorId="2" shapeId="0" xr:uid="{659CD4A8-8FF3-EA4E-AF99-31404B589A4F}">
      <text>
        <t>[Threaded comment]
Your version of Excel allows you to read this threaded comment; however, any edits to it will get removed if the file is opened in a newer version of Excel. Learn more: https://go.microsoft.com/fwlink/?linkid=870924
Comment:
    -1.76 stock, -1.1 -70mm lower rear link</t>
      </text>
    </comment>
  </commentList>
</comments>
</file>

<file path=xl/sharedStrings.xml><?xml version="1.0" encoding="utf-8"?>
<sst xmlns="http://schemas.openxmlformats.org/spreadsheetml/2006/main" count="243" uniqueCount="173">
  <si>
    <t>CG height</t>
  </si>
  <si>
    <t>in</t>
  </si>
  <si>
    <t>lb</t>
  </si>
  <si>
    <t>New CG weight</t>
  </si>
  <si>
    <t>New CG height</t>
  </si>
  <si>
    <t>New CG diff</t>
  </si>
  <si>
    <t>X-Y center mass</t>
  </si>
  <si>
    <t>FL</t>
  </si>
  <si>
    <t>FR</t>
  </si>
  <si>
    <t>RR</t>
  </si>
  <si>
    <t>RL</t>
  </si>
  <si>
    <t>mass</t>
  </si>
  <si>
    <t>wheelbase</t>
  </si>
  <si>
    <t>(wrt center between wheels)</t>
  </si>
  <si>
    <t>FL wheel</t>
  </si>
  <si>
    <t>x (width)</t>
  </si>
  <si>
    <t>y (length)</t>
  </si>
  <si>
    <t>RL wheel</t>
  </si>
  <si>
    <t>FR wheel</t>
  </si>
  <si>
    <t>Front tire</t>
  </si>
  <si>
    <t>Rear tire</t>
  </si>
  <si>
    <t>mm</t>
  </si>
  <si>
    <t>Item</t>
  </si>
  <si>
    <t>weight</t>
  </si>
  <si>
    <t>Corner Weights</t>
  </si>
  <si>
    <t>CG Info</t>
  </si>
  <si>
    <t>Chassis Setup</t>
  </si>
  <si>
    <t>Corner Weight and CG height change calculator</t>
  </si>
  <si>
    <t>+ is Forward</t>
  </si>
  <si>
    <t>CG moved L-R</t>
  </si>
  <si>
    <t>CG moved F-R</t>
  </si>
  <si>
    <t>Distance from centerpoint</t>
  </si>
  <si>
    <t>Relative CG Calculations</t>
  </si>
  <si>
    <t>RR wheel</t>
  </si>
  <si>
    <t>New Target Corner Weights</t>
  </si>
  <si>
    <t>in from front axle</t>
  </si>
  <si>
    <t>in from rear axle</t>
  </si>
  <si>
    <t>in from left track</t>
  </si>
  <si>
    <t>in from right track</t>
  </si>
  <si>
    <t>y: F (+) R (-)</t>
  </si>
  <si>
    <t>z: height</t>
  </si>
  <si>
    <t>Weight Additions/Reductions</t>
  </si>
  <si>
    <t>x: L (+) R (-)</t>
  </si>
  <si>
    <t>+ is Left</t>
  </si>
  <si>
    <t>CG is…</t>
  </si>
  <si>
    <t>no weight changes</t>
  </si>
  <si>
    <t>with weight changes</t>
  </si>
  <si>
    <t>Roof Rack</t>
  </si>
  <si>
    <t>Spare Tire</t>
  </si>
  <si>
    <t>Windsheild cowl</t>
  </si>
  <si>
    <t>Battery</t>
  </si>
  <si>
    <t xml:space="preserve">front track outer </t>
  </si>
  <si>
    <t>rear track outer</t>
  </si>
  <si>
    <t>Donut spare</t>
  </si>
  <si>
    <t>Slon brace savings</t>
  </si>
  <si>
    <t>Trunk stuff</t>
  </si>
  <si>
    <t>Daily duty things</t>
  </si>
  <si>
    <t>lb driver</t>
  </si>
  <si>
    <t>w/o driver</t>
  </si>
  <si>
    <t>Roll center height</t>
  </si>
  <si>
    <t>Roll Couple Changes</t>
  </si>
  <si>
    <t>geometry here</t>
  </si>
  <si>
    <t>Cross bars (20) + bike racks (11+14) + rails (10)</t>
  </si>
  <si>
    <t>e36 M3 (48) -&gt; SS dual 2.5" (28)</t>
  </si>
  <si>
    <t>49lb OEM -&gt; 18.5lb antigravity</t>
  </si>
  <si>
    <t>CG-RC change</t>
  </si>
  <si>
    <t>Total roll change</t>
  </si>
  <si>
    <t>positive rolls more with same weight</t>
  </si>
  <si>
    <t>Hitch</t>
  </si>
  <si>
    <t>Fuel</t>
  </si>
  <si>
    <t>V-brace</t>
  </si>
  <si>
    <t>Brace and brackets (5?)</t>
  </si>
  <si>
    <t>Vincebar</t>
  </si>
  <si>
    <t>Stealth epoxy</t>
  </si>
  <si>
    <t>BMW/Westfalia aluminum (10?)</t>
  </si>
  <si>
    <t>e36 Washer tank</t>
  </si>
  <si>
    <t>M3 Washer tank</t>
  </si>
  <si>
    <t>Body Roll Calcs</t>
  </si>
  <si>
    <t>Roll stiffness</t>
  </si>
  <si>
    <t>lb-ft/deg</t>
  </si>
  <si>
    <t>Roll @ .8G</t>
  </si>
  <si>
    <t>Roll @ 1G</t>
  </si>
  <si>
    <t>deg</t>
  </si>
  <si>
    <t>Approx Suspension Travel</t>
  </si>
  <si>
    <t>Roll moment arm</t>
  </si>
  <si>
    <t>+ 1"</t>
  </si>
  <si>
    <t>+ .5"</t>
  </si>
  <si>
    <t>- .5"</t>
  </si>
  <si>
    <t>- 1"</t>
  </si>
  <si>
    <t>- 1.5"</t>
  </si>
  <si>
    <t>Front</t>
  </si>
  <si>
    <t>Rear</t>
  </si>
  <si>
    <t>Front Camber</t>
  </si>
  <si>
    <t>Front Track</t>
  </si>
  <si>
    <t>Roll Moment Change</t>
  </si>
  <si>
    <t>Roll Center Height (mm)</t>
  </si>
  <si>
    <t>Roll Moment Arm (in)</t>
  </si>
  <si>
    <t>Rear Camber</t>
  </si>
  <si>
    <t>Rear Track</t>
  </si>
  <si>
    <t>Height</t>
  </si>
  <si>
    <t>'Stock'</t>
  </si>
  <si>
    <t>Roll @ 1.2G</t>
  </si>
  <si>
    <t>Jacking</t>
  </si>
  <si>
    <t>Roll Center Height:</t>
  </si>
  <si>
    <t>Spring rate</t>
  </si>
  <si>
    <t>lb/in</t>
  </si>
  <si>
    <t>Static Camber</t>
  </si>
  <si>
    <t>(ignores jacking)</t>
  </si>
  <si>
    <t>Travel @ .8G</t>
  </si>
  <si>
    <t>Travel @ 1G</t>
  </si>
  <si>
    <t>Travel @ 1.2G</t>
  </si>
  <si>
    <t>Camber @ .8G</t>
  </si>
  <si>
    <t>Camber @ 1G</t>
  </si>
  <si>
    <t>Camber @ 1.2G</t>
  </si>
  <si>
    <t>Front outer</t>
  </si>
  <si>
    <t>Rear outer</t>
  </si>
  <si>
    <t>Front inner</t>
  </si>
  <si>
    <t>Rear inner</t>
  </si>
  <si>
    <t>Travel &amp; Camber</t>
  </si>
  <si>
    <t>Camber Gain</t>
  </si>
  <si>
    <t>deg/in</t>
  </si>
  <si>
    <t>from 'Roll Center Heights' tab</t>
  </si>
  <si>
    <t>in, + is compression</t>
  </si>
  <si>
    <t>g</t>
  </si>
  <si>
    <t>F, sum of moments</t>
  </si>
  <si>
    <t>R, sum of moments</t>
  </si>
  <si>
    <t>Force @ .8G</t>
  </si>
  <si>
    <t>Force @ 1G</t>
  </si>
  <si>
    <t>Force @ 1.2G</t>
  </si>
  <si>
    <t>Muffler savings</t>
  </si>
  <si>
    <t>Wheels &amp; Brakes</t>
  </si>
  <si>
    <t>Half tank ~50lb. Baseline is full tank, driver side always drains first</t>
  </si>
  <si>
    <t>Style 32 (24lb) to ARC-8 (17.2lb) &amp; 996 brakes (-8 total)</t>
  </si>
  <si>
    <t>ZHP muffler (28) + damper (2.5)</t>
  </si>
  <si>
    <t>&lt;- actually, rear roll center is 132mm high (5.2")</t>
  </si>
  <si>
    <t>ZHP Muffler</t>
  </si>
  <si>
    <t>math is here</t>
  </si>
  <si>
    <t>scratch corner load math</t>
  </si>
  <si>
    <t>.8G</t>
  </si>
  <si>
    <t>1G</t>
  </si>
  <si>
    <t>1.2G</t>
  </si>
  <si>
    <t xml:space="preserve">outside load ratio </t>
  </si>
  <si>
    <t>Displacement</t>
  </si>
  <si>
    <t>Force</t>
  </si>
  <si>
    <t>positive rolls more with same cornering G (weight * distance from RC)</t>
  </si>
  <si>
    <t>Carbon touring roof vs moonroof -47lbs</t>
  </si>
  <si>
    <t>Carbon Roof</t>
  </si>
  <si>
    <t>LED headlights</t>
  </si>
  <si>
    <t>X and V-brace braces</t>
  </si>
  <si>
    <t>approx 10lbs to go carbon M3 trunk flr</t>
  </si>
  <si>
    <t>Carbon trunk floor</t>
  </si>
  <si>
    <t>Carbon hatch</t>
  </si>
  <si>
    <t>M3 hood and fenders</t>
  </si>
  <si>
    <t>Carbon Front Doors</t>
  </si>
  <si>
    <t>Carbon Rear Doors</t>
  </si>
  <si>
    <t>-6 Carbon fenders, -14 M3 aluminum hood</t>
  </si>
  <si>
    <t>-20 lb carbon hatch</t>
  </si>
  <si>
    <t>In trunk and under subframe in one</t>
  </si>
  <si>
    <t>Removed ballasts</t>
  </si>
  <si>
    <t>Tank, pump, full</t>
  </si>
  <si>
    <t>Tank, pump, bracket, full</t>
  </si>
  <si>
    <t>Aluminum block</t>
  </si>
  <si>
    <t>CSL seats</t>
  </si>
  <si>
    <t>40lbs less than recaro sportsters</t>
  </si>
  <si>
    <t>-50lb VAC motorsports $15k+</t>
  </si>
  <si>
    <t>Rear seatback</t>
  </si>
  <si>
    <t>Electric fan conversion</t>
  </si>
  <si>
    <t>Replace fan clutch w/ electric, delete aux fan</t>
  </si>
  <si>
    <t>Secondary air delete</t>
  </si>
  <si>
    <t>R doors -30lb</t>
  </si>
  <si>
    <t>65lb for back+isofix, 12lb for bottom</t>
  </si>
  <si>
    <t>3120 full optioned CSL w half tank (3172 full)</t>
  </si>
  <si>
    <t xml:space="preserve">F doors -47, plus 4 sound insulation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</si>
</sst>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9" fontId="0" fillId="0" borderId="0" xfId="1" applyFont="1"/>
    <xf numFmtId="165" fontId="0" fillId="0" borderId="0" xfId="1" applyNumberFormat="1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12" xfId="0" applyFill="1" applyBorder="1"/>
    <xf numFmtId="0" fontId="0" fillId="2" borderId="13" xfId="0" applyFill="1" applyBorder="1"/>
    <xf numFmtId="0" fontId="0" fillId="0" borderId="0" xfId="0" quotePrefix="1"/>
    <xf numFmtId="165" fontId="0" fillId="0" borderId="0" xfId="1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3" borderId="0" xfId="0" applyNumberFormat="1" applyFill="1"/>
    <xf numFmtId="2" fontId="0" fillId="3" borderId="0" xfId="1" applyNumberFormat="1" applyFont="1" applyFill="1"/>
    <xf numFmtId="2" fontId="0" fillId="3" borderId="0" xfId="0" applyNumberFormat="1" applyFill="1"/>
    <xf numFmtId="0" fontId="0" fillId="3" borderId="1" xfId="0" applyFill="1" applyBorder="1"/>
    <xf numFmtId="166" fontId="0" fillId="3" borderId="10" xfId="0" applyNumberFormat="1" applyFill="1" applyBorder="1" applyAlignment="1">
      <alignment horizontal="center"/>
    </xf>
    <xf numFmtId="1" fontId="0" fillId="3" borderId="11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165" fontId="0" fillId="3" borderId="11" xfId="1" applyNumberFormat="1" applyFont="1" applyFill="1" applyBorder="1" applyAlignment="1">
      <alignment horizontal="center"/>
    </xf>
    <xf numFmtId="0" fontId="3" fillId="0" borderId="0" xfId="2"/>
    <xf numFmtId="165" fontId="0" fillId="0" borderId="0" xfId="0" applyNumberFormat="1" applyAlignment="1">
      <alignment horizontal="left"/>
    </xf>
    <xf numFmtId="165" fontId="0" fillId="3" borderId="10" xfId="1" applyNumberFormat="1" applyFont="1" applyFill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2" fontId="0" fillId="3" borderId="10" xfId="1" applyNumberFormat="1" applyFont="1" applyFill="1" applyBorder="1" applyAlignment="1">
      <alignment horizontal="center"/>
    </xf>
    <xf numFmtId="2" fontId="0" fillId="3" borderId="11" xfId="1" applyNumberFormat="1" applyFont="1" applyFill="1" applyBorder="1" applyAlignment="1">
      <alignment horizontal="center"/>
    </xf>
    <xf numFmtId="1" fontId="0" fillId="0" borderId="10" xfId="1" applyNumberFormat="1" applyFont="1" applyFill="1" applyBorder="1" applyAlignment="1">
      <alignment horizontal="center"/>
    </xf>
    <xf numFmtId="0" fontId="0" fillId="2" borderId="0" xfId="0" quotePrefix="1" applyFill="1"/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4" xfId="0" applyFont="1" applyBorder="1"/>
    <xf numFmtId="0" fontId="0" fillId="2" borderId="12" xfId="0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BAB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 of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'CG and Roll'!$H$10</c:f>
              <c:strCache>
                <c:ptCount val="1"/>
                <c:pt idx="0">
                  <c:v>FL wheel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0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'CG and Roll'!$I$10</c:f>
              <c:numCache>
                <c:formatCode>0.00</c:formatCode>
                <c:ptCount val="1"/>
                <c:pt idx="0">
                  <c:v>29.88188976377953</c:v>
                </c:pt>
              </c:numCache>
            </c:numRef>
          </c:xVal>
          <c:yVal>
            <c:numRef>
              <c:f>'CG and Roll'!$J$10</c:f>
              <c:numCache>
                <c:formatCode>0.00</c:formatCode>
                <c:ptCount val="1"/>
                <c:pt idx="0">
                  <c:v>53.759842519685044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4-F94E-A1C0-55ACE5AD2A44}"/>
            </c:ext>
          </c:extLst>
        </c:ser>
        <c:ser>
          <c:idx val="3"/>
          <c:order val="1"/>
          <c:tx>
            <c:strRef>
              <c:f>'CG and Roll'!$H$11</c:f>
              <c:strCache>
                <c:ptCount val="1"/>
                <c:pt idx="0">
                  <c:v>RL wheel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0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'CG and Roll'!$I$11</c:f>
              <c:numCache>
                <c:formatCode>0.00</c:formatCode>
                <c:ptCount val="1"/>
                <c:pt idx="0">
                  <c:v>29.23228346456693</c:v>
                </c:pt>
              </c:numCache>
            </c:numRef>
          </c:xVal>
          <c:yVal>
            <c:numRef>
              <c:f>'CG and Roll'!$J$11</c:f>
              <c:numCache>
                <c:formatCode>0.00</c:formatCode>
                <c:ptCount val="1"/>
                <c:pt idx="0">
                  <c:v>-53.759842519685044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A4-F94E-A1C0-55ACE5AD2A44}"/>
            </c:ext>
          </c:extLst>
        </c:ser>
        <c:ser>
          <c:idx val="1"/>
          <c:order val="2"/>
          <c:tx>
            <c:strRef>
              <c:f>'CG and Roll'!$H$12</c:f>
              <c:strCache>
                <c:ptCount val="1"/>
                <c:pt idx="0">
                  <c:v>FR wheel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0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'CG and Roll'!$I$12</c:f>
              <c:numCache>
                <c:formatCode>0.00</c:formatCode>
                <c:ptCount val="1"/>
                <c:pt idx="0">
                  <c:v>-29.88188976377953</c:v>
                </c:pt>
              </c:numCache>
            </c:numRef>
          </c:xVal>
          <c:yVal>
            <c:numRef>
              <c:f>'CG and Roll'!$J$12</c:f>
              <c:numCache>
                <c:formatCode>0.00</c:formatCode>
                <c:ptCount val="1"/>
                <c:pt idx="0">
                  <c:v>53.759842519685044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4-F94E-A1C0-55ACE5AD2A44}"/>
            </c:ext>
          </c:extLst>
        </c:ser>
        <c:ser>
          <c:idx val="2"/>
          <c:order val="3"/>
          <c:tx>
            <c:strRef>
              <c:f>'CG and Roll'!$H$13</c:f>
              <c:strCache>
                <c:ptCount val="1"/>
                <c:pt idx="0">
                  <c:v>RR wheel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0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'CG and Roll'!$I$13</c:f>
              <c:numCache>
                <c:formatCode>0.00</c:formatCode>
                <c:ptCount val="1"/>
                <c:pt idx="0">
                  <c:v>-29.23228346456693</c:v>
                </c:pt>
              </c:numCache>
            </c:numRef>
          </c:xVal>
          <c:yVal>
            <c:numRef>
              <c:f>'CG and Roll'!$J$13</c:f>
              <c:numCache>
                <c:formatCode>0.00</c:formatCode>
                <c:ptCount val="1"/>
                <c:pt idx="0">
                  <c:v>-53.759842519685044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A4-F94E-A1C0-55ACE5AD2A44}"/>
            </c:ext>
          </c:extLst>
        </c:ser>
        <c:ser>
          <c:idx val="4"/>
          <c:order val="4"/>
          <c:tx>
            <c:strRef>
              <c:f>'CG and Roll'!$B$21</c:f>
              <c:strCache>
                <c:ptCount val="1"/>
                <c:pt idx="0">
                  <c:v>e36 Washer tank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5">
                  <a:alpha val="74864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'CG and Roll'!$O$21</c:f>
              <c:numCache>
                <c:formatCode>General</c:formatCode>
                <c:ptCount val="1"/>
                <c:pt idx="0">
                  <c:v>24</c:v>
                </c:pt>
              </c:numCache>
            </c:numRef>
          </c:xVal>
          <c:yVal>
            <c:numRef>
              <c:f>'CG and Roll'!$E$21</c:f>
              <c:numCache>
                <c:formatCode>General</c:formatCode>
                <c:ptCount val="1"/>
                <c:pt idx="0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A4-F94E-A1C0-55ACE5AD2A44}"/>
            </c:ext>
          </c:extLst>
        </c:ser>
        <c:ser>
          <c:idx val="18"/>
          <c:order val="5"/>
          <c:tx>
            <c:strRef>
              <c:f>'CG and Roll'!$B$22</c:f>
              <c:strCache>
                <c:ptCount val="1"/>
                <c:pt idx="0">
                  <c:v>M3 Washer tank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2">
                  <a:alpha val="75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'CG and Roll'!$O$22</c:f>
              <c:numCache>
                <c:formatCode>General</c:formatCode>
                <c:ptCount val="1"/>
                <c:pt idx="0">
                  <c:v>26</c:v>
                </c:pt>
              </c:numCache>
            </c:numRef>
          </c:xVal>
          <c:yVal>
            <c:numRef>
              <c:f>'CG and Roll'!$E$22</c:f>
              <c:numCache>
                <c:formatCode>General</c:formatCode>
                <c:ptCount val="1"/>
                <c:pt idx="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FA-904D-BF82-CBCABADB0209}"/>
            </c:ext>
          </c:extLst>
        </c:ser>
        <c:ser>
          <c:idx val="5"/>
          <c:order val="6"/>
          <c:tx>
            <c:strRef>
              <c:f>'CG and Roll'!$B$23</c:f>
              <c:strCache>
                <c:ptCount val="1"/>
                <c:pt idx="0">
                  <c:v>Roof Rack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6">
                  <a:alpha val="75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'CG and Roll'!$O$23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'CG and Roll'!$E$23</c:f>
              <c:numCache>
                <c:formatCode>General</c:formatCode>
                <c:ptCount val="1"/>
                <c:pt idx="0">
                  <c:v>-36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0A4-F94E-A1C0-55ACE5AD2A44}"/>
            </c:ext>
          </c:extLst>
        </c:ser>
        <c:ser>
          <c:idx val="19"/>
          <c:order val="7"/>
          <c:tx>
            <c:strRef>
              <c:f>'CG and Roll'!$B$24</c:f>
              <c:strCache>
                <c:ptCount val="1"/>
                <c:pt idx="0">
                  <c:v>Carbon Roof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'CG and Roll'!$O$24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'CG and Roll'!$E$24</c:f>
              <c:numCache>
                <c:formatCode>General</c:formatCode>
                <c:ptCount val="1"/>
                <c:pt idx="0">
                  <c:v>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CB-9841-90BB-C3DD438B6322}"/>
            </c:ext>
          </c:extLst>
        </c:ser>
        <c:ser>
          <c:idx val="20"/>
          <c:order val="8"/>
          <c:tx>
            <c:strRef>
              <c:f>'CG and Roll'!$B$25</c:f>
              <c:strCache>
                <c:ptCount val="1"/>
                <c:pt idx="0">
                  <c:v>Carbon Front Doors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'CG and Roll'!$O$25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'CG and Roll'!$E$25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CB-9841-90BB-C3DD438B6322}"/>
            </c:ext>
          </c:extLst>
        </c:ser>
        <c:ser>
          <c:idx val="6"/>
          <c:order val="9"/>
          <c:tx>
            <c:strRef>
              <c:f>'CG and Roll'!$B$27</c:f>
              <c:strCache>
                <c:ptCount val="1"/>
                <c:pt idx="0">
                  <c:v>Spare Tire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1">
                  <a:alpha val="75104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'CG and Roll'!$O$27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'CG and Roll'!$E$27</c:f>
              <c:numCache>
                <c:formatCode>General</c:formatCode>
                <c:ptCount val="1"/>
                <c:pt idx="0">
                  <c:v>-74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0A4-F94E-A1C0-55ACE5AD2A44}"/>
            </c:ext>
          </c:extLst>
        </c:ser>
        <c:ser>
          <c:idx val="17"/>
          <c:order val="10"/>
          <c:tx>
            <c:strRef>
              <c:f>'CG and Roll'!$B$28</c:f>
              <c:strCache>
                <c:ptCount val="1"/>
                <c:pt idx="0">
                  <c:v>Trunk stuff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'CG and Roll'!$O$28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'CG and Roll'!$E$28</c:f>
              <c:numCache>
                <c:formatCode>General</c:formatCode>
                <c:ptCount val="1"/>
                <c:pt idx="0">
                  <c:v>-74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40-CC46-98E0-D529C4C5D4E8}"/>
            </c:ext>
          </c:extLst>
        </c:ser>
        <c:ser>
          <c:idx val="7"/>
          <c:order val="11"/>
          <c:tx>
            <c:strRef>
              <c:f>'CG and Roll'!$B$29</c:f>
              <c:strCache>
                <c:ptCount val="1"/>
                <c:pt idx="0">
                  <c:v>Windsheild cowl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2">
                  <a:lumMod val="50000"/>
                  <a:alpha val="74976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'CG and Roll'!$O$29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'CG and Roll'!$E$29</c:f>
              <c:numCache>
                <c:formatCode>General</c:formatCode>
                <c:ptCount val="1"/>
                <c:pt idx="0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0A4-F94E-A1C0-55ACE5AD2A44}"/>
            </c:ext>
          </c:extLst>
        </c:ser>
        <c:ser>
          <c:idx val="8"/>
          <c:order val="12"/>
          <c:tx>
            <c:strRef>
              <c:f>'CG and Roll'!$B$30</c:f>
              <c:strCache>
                <c:ptCount val="1"/>
                <c:pt idx="0">
                  <c:v>Wheels &amp; Brakes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2">
                  <a:alpha val="75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'CG and Roll'!$O$30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'CG and Roll'!$E$30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0A4-F94E-A1C0-55ACE5AD2A44}"/>
            </c:ext>
          </c:extLst>
        </c:ser>
        <c:ser>
          <c:idx val="9"/>
          <c:order val="13"/>
          <c:tx>
            <c:strRef>
              <c:f>'CG and Roll'!$B$31</c:f>
              <c:strCache>
                <c:ptCount val="1"/>
                <c:pt idx="0">
                  <c:v>Battery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4">
                  <a:alpha val="74577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'CG and Roll'!$O$31</c:f>
              <c:numCache>
                <c:formatCode>General</c:formatCode>
                <c:ptCount val="1"/>
                <c:pt idx="0">
                  <c:v>24</c:v>
                </c:pt>
              </c:numCache>
            </c:numRef>
          </c:xVal>
          <c:yVal>
            <c:numRef>
              <c:f>'CG and Roll'!$E$31</c:f>
              <c:numCache>
                <c:formatCode>General</c:formatCode>
                <c:ptCount val="1"/>
                <c:pt idx="0">
                  <c:v>-76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0A4-F94E-A1C0-55ACE5AD2A44}"/>
            </c:ext>
          </c:extLst>
        </c:ser>
        <c:ser>
          <c:idx val="12"/>
          <c:order val="14"/>
          <c:tx>
            <c:strRef>
              <c:f>'CG and Roll'!$B$32</c:f>
              <c:strCache>
                <c:ptCount val="1"/>
                <c:pt idx="0">
                  <c:v>Hitch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2">
                  <a:lumMod val="75000"/>
                  <a:alpha val="75000"/>
                </a:schemeClr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xVal>
            <c:numRef>
              <c:f>'CG and Roll'!$O$32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'CG and Roll'!$E$32</c:f>
              <c:numCache>
                <c:formatCode>General</c:formatCode>
                <c:ptCount val="1"/>
                <c:pt idx="0">
                  <c:v>-90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40-CC46-98E0-D529C4C5D4E8}"/>
            </c:ext>
          </c:extLst>
        </c:ser>
        <c:ser>
          <c:idx val="13"/>
          <c:order val="15"/>
          <c:tx>
            <c:strRef>
              <c:f>'CG and Roll'!$B$33</c:f>
              <c:strCache>
                <c:ptCount val="1"/>
                <c:pt idx="0">
                  <c:v>V-brace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5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20"/>
              <c:spPr>
                <a:solidFill>
                  <a:schemeClr val="accent2">
                    <a:alpha val="75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C98-2D40-96E4-E4C51ABBD484}"/>
              </c:ext>
            </c:extLst>
          </c:dPt>
          <c:xVal>
            <c:numRef>
              <c:f>'CG and Roll'!$O$33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'CG and Roll'!$E$33</c:f>
              <c:numCache>
                <c:formatCode>General</c:formatCode>
                <c:ptCount val="1"/>
                <c:pt idx="0">
                  <c:v>-42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40-CC46-98E0-D529C4C5D4E8}"/>
            </c:ext>
          </c:extLst>
        </c:ser>
        <c:ser>
          <c:idx val="14"/>
          <c:order val="16"/>
          <c:tx>
            <c:strRef>
              <c:f>'CG and Roll'!$B$34</c:f>
              <c:strCache>
                <c:ptCount val="1"/>
                <c:pt idx="0">
                  <c:v>Vincebar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20"/>
              <c:spPr>
                <a:solidFill>
                  <a:schemeClr val="bg2">
                    <a:lumMod val="90000"/>
                    <a:alpha val="75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C98-2D40-96E4-E4C51ABBD484}"/>
              </c:ext>
            </c:extLst>
          </c:dPt>
          <c:xVal>
            <c:numRef>
              <c:f>'CG and Roll'!$O$34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'CG and Roll'!$E$34</c:f>
              <c:numCache>
                <c:formatCode>General</c:formatCode>
                <c:ptCount val="1"/>
                <c:pt idx="0">
                  <c:v>-58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40-CC46-98E0-D529C4C5D4E8}"/>
            </c:ext>
          </c:extLst>
        </c:ser>
        <c:ser>
          <c:idx val="15"/>
          <c:order val="17"/>
          <c:tx>
            <c:strRef>
              <c:f>'CG and Roll'!$B$35</c:f>
              <c:strCache>
                <c:ptCount val="1"/>
                <c:pt idx="0">
                  <c:v>ZHP Muffler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4">
                  <a:alpha val="75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'CG and Roll'!$O$35</c:f>
              <c:numCache>
                <c:formatCode>General</c:formatCode>
                <c:ptCount val="1"/>
                <c:pt idx="0">
                  <c:v>-24</c:v>
                </c:pt>
              </c:numCache>
            </c:numRef>
          </c:xVal>
          <c:yVal>
            <c:numRef>
              <c:f>'CG and Roll'!$E$35</c:f>
              <c:numCache>
                <c:formatCode>General</c:formatCode>
                <c:ptCount val="1"/>
                <c:pt idx="0">
                  <c:v>-76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40-CC46-98E0-D529C4C5D4E8}"/>
            </c:ext>
          </c:extLst>
        </c:ser>
        <c:ser>
          <c:idx val="16"/>
          <c:order val="18"/>
          <c:tx>
            <c:strRef>
              <c:f>'CG and Roll'!$B$47</c:f>
              <c:strCache>
                <c:ptCount val="1"/>
                <c:pt idx="0">
                  <c:v>Fuel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5">
                  <a:alpha val="75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'CG and Roll'!$O$47</c:f>
              <c:numCache>
                <c:formatCode>General</c:formatCode>
                <c:ptCount val="1"/>
                <c:pt idx="0">
                  <c:v>-14</c:v>
                </c:pt>
              </c:numCache>
            </c:numRef>
          </c:xVal>
          <c:yVal>
            <c:numRef>
              <c:f>'CG and Roll'!$E$47</c:f>
              <c:numCache>
                <c:formatCode>General</c:formatCode>
                <c:ptCount val="1"/>
                <c:pt idx="0">
                  <c:v>-36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40-CC46-98E0-D529C4C5D4E8}"/>
            </c:ext>
          </c:extLst>
        </c:ser>
        <c:ser>
          <c:idx val="10"/>
          <c:order val="19"/>
          <c:tx>
            <c:strRef>
              <c:f>'CG and Roll'!$B$59</c:f>
              <c:strCache>
                <c:ptCount val="1"/>
                <c:pt idx="0">
                  <c:v>X-Y center mass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20"/>
            <c:spPr>
              <a:noFill/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20"/>
              <c:spPr>
                <a:noFill/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55-0940-B755-C8BA87A55FD5}"/>
              </c:ext>
            </c:extLst>
          </c:dPt>
          <c:xVal>
            <c:numRef>
              <c:f>'CG and Roll'!$O$59</c:f>
              <c:numCache>
                <c:formatCode>General</c:formatCode>
                <c:ptCount val="1"/>
                <c:pt idx="0">
                  <c:v>-0.36526158666146796</c:v>
                </c:pt>
              </c:numCache>
            </c:numRef>
          </c:xVal>
          <c:yVal>
            <c:numRef>
              <c:f>'CG and Roll'!$D$59</c:f>
              <c:numCache>
                <c:formatCode>0.000</c:formatCode>
                <c:ptCount val="1"/>
                <c:pt idx="0">
                  <c:v>-0.10378335728836741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0A4-F94E-A1C0-55ACE5AD2A44}"/>
            </c:ext>
          </c:extLst>
        </c:ser>
        <c:ser>
          <c:idx val="11"/>
          <c:order val="20"/>
          <c:tx>
            <c:strRef>
              <c:f>'CG and Roll'!$B$59</c:f>
              <c:strCache>
                <c:ptCount val="1"/>
                <c:pt idx="0">
                  <c:v>X-Y center mass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8"/>
            <c:spPr>
              <a:solidFill>
                <a:schemeClr val="tx1">
                  <a:alpha val="10033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'CG and Roll'!$O$59</c:f>
              <c:numCache>
                <c:formatCode>General</c:formatCode>
                <c:ptCount val="1"/>
                <c:pt idx="0">
                  <c:v>-0.36526158666146796</c:v>
                </c:pt>
              </c:numCache>
            </c:numRef>
          </c:xVal>
          <c:yVal>
            <c:numRef>
              <c:f>'CG and Roll'!$D$59</c:f>
              <c:numCache>
                <c:formatCode>0.000</c:formatCode>
                <c:ptCount val="1"/>
                <c:pt idx="0">
                  <c:v>-0.10378335728836741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0A4-F94E-A1C0-55ACE5AD2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636960"/>
        <c:axId val="1436638608"/>
      </c:scatterChart>
      <c:valAx>
        <c:axId val="143663696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74769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38608"/>
        <c:crosses val="autoZero"/>
        <c:crossBetween val="midCat"/>
        <c:majorUnit val="12"/>
      </c:valAx>
      <c:valAx>
        <c:axId val="1436638608"/>
        <c:scaling>
          <c:orientation val="minMax"/>
          <c:max val="82"/>
          <c:min val="-9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36960"/>
        <c:crosses val="autoZero"/>
        <c:crossBetween val="midCat"/>
        <c:majorUnit val="1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 Camber</a:t>
            </a:r>
            <a:r>
              <a:rPr lang="en-US" baseline="0"/>
              <a:t> and Roll </a:t>
            </a:r>
            <a:r>
              <a:rPr lang="en-US"/>
              <a:t>Changes with Ride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1"/>
          <c:tx>
            <c:strRef>
              <c:f>'Roll Center Heights'!$E$4</c:f>
              <c:strCache>
                <c:ptCount val="1"/>
                <c:pt idx="0">
                  <c:v>Front Camber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'Roll Center Heights'!$A$5:$A$10</c:f>
              <c:strCache>
                <c:ptCount val="6"/>
                <c:pt idx="0">
                  <c:v>+ 1"</c:v>
                </c:pt>
                <c:pt idx="1">
                  <c:v>+ .5"</c:v>
                </c:pt>
                <c:pt idx="2">
                  <c:v>'Stock'</c:v>
                </c:pt>
                <c:pt idx="3">
                  <c:v>- .5"</c:v>
                </c:pt>
                <c:pt idx="4">
                  <c:v>- 1"</c:v>
                </c:pt>
                <c:pt idx="5">
                  <c:v>- 1.5"</c:v>
                </c:pt>
              </c:strCache>
            </c:strRef>
          </c:cat>
          <c:val>
            <c:numRef>
              <c:f>'Roll Center Heights'!$E$5:$E$10</c:f>
              <c:numCache>
                <c:formatCode>General</c:formatCode>
                <c:ptCount val="6"/>
                <c:pt idx="0">
                  <c:v>-1.94</c:v>
                </c:pt>
                <c:pt idx="1">
                  <c:v>-2.23</c:v>
                </c:pt>
                <c:pt idx="2">
                  <c:v>-2.5</c:v>
                </c:pt>
                <c:pt idx="3">
                  <c:v>-2.74</c:v>
                </c:pt>
                <c:pt idx="4">
                  <c:v>-2.96</c:v>
                </c:pt>
                <c:pt idx="5">
                  <c:v>-3.14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61-A74F-9BA2-68149A62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2079"/>
        <c:axId val="1815469648"/>
      </c:lineChart>
      <c:lineChart>
        <c:grouping val="standard"/>
        <c:varyColors val="0"/>
        <c:ser>
          <c:idx val="2"/>
          <c:order val="0"/>
          <c:tx>
            <c:strRef>
              <c:f>'Roll Center Heights'!$D$4</c:f>
              <c:strCache>
                <c:ptCount val="1"/>
                <c:pt idx="0">
                  <c:v>Roll Moment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'Roll Center Heights'!$A$5:$A$10</c:f>
              <c:strCache>
                <c:ptCount val="6"/>
                <c:pt idx="0">
                  <c:v>+ 1"</c:v>
                </c:pt>
                <c:pt idx="1">
                  <c:v>+ .5"</c:v>
                </c:pt>
                <c:pt idx="2">
                  <c:v>'Stock'</c:v>
                </c:pt>
                <c:pt idx="3">
                  <c:v>- .5"</c:v>
                </c:pt>
                <c:pt idx="4">
                  <c:v>- 1"</c:v>
                </c:pt>
                <c:pt idx="5">
                  <c:v>- 1.5"</c:v>
                </c:pt>
              </c:strCache>
            </c:strRef>
          </c:cat>
          <c:val>
            <c:numRef>
              <c:f>'Roll Center Heights'!$D$5:$D$10</c:f>
              <c:numCache>
                <c:formatCode>0%</c:formatCode>
                <c:ptCount val="6"/>
                <c:pt idx="0">
                  <c:v>-0.12077289679347414</c:v>
                </c:pt>
                <c:pt idx="1">
                  <c:v>-6.0864441391961899E-2</c:v>
                </c:pt>
                <c:pt idx="2">
                  <c:v>0</c:v>
                </c:pt>
                <c:pt idx="3">
                  <c:v>6.1990380447380478E-2</c:v>
                </c:pt>
                <c:pt idx="4">
                  <c:v>0.12534038541451142</c:v>
                </c:pt>
                <c:pt idx="5">
                  <c:v>0.1903474327650887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61-A74F-9BA2-68149A62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786943"/>
        <c:axId val="355493535"/>
      </c:lineChart>
      <c:catAx>
        <c:axId val="40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69648"/>
        <c:crosses val="autoZero"/>
        <c:auto val="1"/>
        <c:lblAlgn val="ctr"/>
        <c:lblOffset val="100"/>
        <c:noMultiLvlLbl val="0"/>
      </c:catAx>
      <c:valAx>
        <c:axId val="18154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079"/>
        <c:crosses val="autoZero"/>
        <c:crossBetween val="between"/>
      </c:valAx>
      <c:valAx>
        <c:axId val="35549353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86943"/>
        <c:crosses val="max"/>
        <c:crossBetween val="between"/>
      </c:valAx>
      <c:catAx>
        <c:axId val="355786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5493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 Camber &amp;</a:t>
            </a:r>
            <a:r>
              <a:rPr lang="en-US" baseline="0"/>
              <a:t> Track </a:t>
            </a:r>
            <a:r>
              <a:rPr lang="en-US"/>
              <a:t>Changes with Ride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'Roll Center Heights'!$E$4</c:f>
              <c:strCache>
                <c:ptCount val="1"/>
                <c:pt idx="0">
                  <c:v>Front Camber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'Roll Center Heights'!$A$5:$A$10</c:f>
              <c:strCache>
                <c:ptCount val="6"/>
                <c:pt idx="0">
                  <c:v>+ 1"</c:v>
                </c:pt>
                <c:pt idx="1">
                  <c:v>+ .5"</c:v>
                </c:pt>
                <c:pt idx="2">
                  <c:v>'Stock'</c:v>
                </c:pt>
                <c:pt idx="3">
                  <c:v>- .5"</c:v>
                </c:pt>
                <c:pt idx="4">
                  <c:v>- 1"</c:v>
                </c:pt>
                <c:pt idx="5">
                  <c:v>- 1.5"</c:v>
                </c:pt>
              </c:strCache>
            </c:strRef>
          </c:cat>
          <c:val>
            <c:numRef>
              <c:f>'Roll Center Heights'!$E$5:$E$10</c:f>
              <c:numCache>
                <c:formatCode>General</c:formatCode>
                <c:ptCount val="6"/>
                <c:pt idx="0">
                  <c:v>-1.94</c:v>
                </c:pt>
                <c:pt idx="1">
                  <c:v>-2.23</c:v>
                </c:pt>
                <c:pt idx="2">
                  <c:v>-2.5</c:v>
                </c:pt>
                <c:pt idx="3">
                  <c:v>-2.74</c:v>
                </c:pt>
                <c:pt idx="4">
                  <c:v>-2.96</c:v>
                </c:pt>
                <c:pt idx="5">
                  <c:v>-3.14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F-DF4E-B3E9-688A4157A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2079"/>
        <c:axId val="1815469648"/>
      </c:lineChart>
      <c:lineChart>
        <c:grouping val="standard"/>
        <c:varyColors val="0"/>
        <c:ser>
          <c:idx val="4"/>
          <c:order val="1"/>
          <c:tx>
            <c:strRef>
              <c:f>'Roll Center Heights'!$F$4</c:f>
              <c:strCache>
                <c:ptCount val="1"/>
                <c:pt idx="0">
                  <c:v>Front Track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'Roll Center Heights'!$A$5:$A$10</c:f>
              <c:strCache>
                <c:ptCount val="6"/>
                <c:pt idx="0">
                  <c:v>+ 1"</c:v>
                </c:pt>
                <c:pt idx="1">
                  <c:v>+ .5"</c:v>
                </c:pt>
                <c:pt idx="2">
                  <c:v>'Stock'</c:v>
                </c:pt>
                <c:pt idx="3">
                  <c:v>- .5"</c:v>
                </c:pt>
                <c:pt idx="4">
                  <c:v>- 1"</c:v>
                </c:pt>
                <c:pt idx="5">
                  <c:v>- 1.5"</c:v>
                </c:pt>
              </c:strCache>
            </c:strRef>
          </c:cat>
          <c:val>
            <c:numRef>
              <c:f>'Roll Center Heights'!$F$5:$F$10</c:f>
              <c:numCache>
                <c:formatCode>General</c:formatCode>
                <c:ptCount val="6"/>
                <c:pt idx="0">
                  <c:v>1505.4</c:v>
                </c:pt>
                <c:pt idx="1">
                  <c:v>1508.1</c:v>
                </c:pt>
                <c:pt idx="2">
                  <c:v>1509.9</c:v>
                </c:pt>
                <c:pt idx="3">
                  <c:v>1510.7</c:v>
                </c:pt>
                <c:pt idx="4">
                  <c:v>1510.6</c:v>
                </c:pt>
                <c:pt idx="5">
                  <c:v>1509.4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CF-DF4E-B3E9-688A4157A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023408"/>
        <c:axId val="298643631"/>
      </c:lineChart>
      <c:catAx>
        <c:axId val="40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69648"/>
        <c:crosses val="autoZero"/>
        <c:auto val="1"/>
        <c:lblAlgn val="ctr"/>
        <c:lblOffset val="100"/>
        <c:noMultiLvlLbl val="0"/>
      </c:catAx>
      <c:valAx>
        <c:axId val="18154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079"/>
        <c:crosses val="autoZero"/>
        <c:crossBetween val="between"/>
      </c:valAx>
      <c:valAx>
        <c:axId val="2986436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23408"/>
        <c:crosses val="max"/>
        <c:crossBetween val="between"/>
      </c:valAx>
      <c:catAx>
        <c:axId val="1833023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8643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Rear Camber &amp; Track Changes with Ride Height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'Roll Center Heights'!$E$27</c:f>
              <c:strCache>
                <c:ptCount val="1"/>
                <c:pt idx="0">
                  <c:v>Rear Camber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'Roll Center Heights'!$A$28:$A$33</c:f>
              <c:strCache>
                <c:ptCount val="6"/>
                <c:pt idx="0">
                  <c:v>+ 1"</c:v>
                </c:pt>
                <c:pt idx="1">
                  <c:v>+ .5"</c:v>
                </c:pt>
                <c:pt idx="2">
                  <c:v>'Stock'</c:v>
                </c:pt>
                <c:pt idx="3">
                  <c:v>- .5"</c:v>
                </c:pt>
                <c:pt idx="4">
                  <c:v>- 1"</c:v>
                </c:pt>
                <c:pt idx="5">
                  <c:v>- 1.5"</c:v>
                </c:pt>
              </c:strCache>
            </c:strRef>
          </c:cat>
          <c:val>
            <c:numRef>
              <c:f>'Roll Center Heights'!$E$28:$E$33</c:f>
              <c:numCache>
                <c:formatCode>General</c:formatCode>
                <c:ptCount val="6"/>
                <c:pt idx="0">
                  <c:v>0.37</c:v>
                </c:pt>
                <c:pt idx="1">
                  <c:v>-0.52</c:v>
                </c:pt>
                <c:pt idx="2">
                  <c:v>-1.4</c:v>
                </c:pt>
                <c:pt idx="3">
                  <c:v>-2.2799999999999998</c:v>
                </c:pt>
                <c:pt idx="4">
                  <c:v>-3.15</c:v>
                </c:pt>
                <c:pt idx="5">
                  <c:v>-4.01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F5-9F4E-9B8B-D8CAE9C3F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743072"/>
        <c:axId val="268936975"/>
      </c:lineChart>
      <c:lineChart>
        <c:grouping val="standard"/>
        <c:varyColors val="0"/>
        <c:ser>
          <c:idx val="4"/>
          <c:order val="1"/>
          <c:tx>
            <c:strRef>
              <c:f>'Roll Center Heights'!$F$27</c:f>
              <c:strCache>
                <c:ptCount val="1"/>
                <c:pt idx="0">
                  <c:v>Rear Track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'Roll Center Heights'!$A$28:$A$33</c:f>
              <c:strCache>
                <c:ptCount val="6"/>
                <c:pt idx="0">
                  <c:v>+ 1"</c:v>
                </c:pt>
                <c:pt idx="1">
                  <c:v>+ .5"</c:v>
                </c:pt>
                <c:pt idx="2">
                  <c:v>'Stock'</c:v>
                </c:pt>
                <c:pt idx="3">
                  <c:v>- .5"</c:v>
                </c:pt>
                <c:pt idx="4">
                  <c:v>- 1"</c:v>
                </c:pt>
                <c:pt idx="5">
                  <c:v>- 1.5"</c:v>
                </c:pt>
              </c:strCache>
            </c:strRef>
          </c:cat>
          <c:val>
            <c:numRef>
              <c:f>'Roll Center Heights'!$F$28:$F$33</c:f>
              <c:numCache>
                <c:formatCode>General</c:formatCode>
                <c:ptCount val="6"/>
                <c:pt idx="0">
                  <c:v>1473.5</c:v>
                </c:pt>
                <c:pt idx="1">
                  <c:v>1484.1</c:v>
                </c:pt>
                <c:pt idx="2">
                  <c:v>1494</c:v>
                </c:pt>
                <c:pt idx="3">
                  <c:v>1503.3</c:v>
                </c:pt>
                <c:pt idx="4">
                  <c:v>1512.1</c:v>
                </c:pt>
                <c:pt idx="5">
                  <c:v>1520.2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F5-9F4E-9B8B-D8CAE9C3F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78767"/>
        <c:axId val="263365007"/>
      </c:lineChart>
      <c:catAx>
        <c:axId val="183374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936975"/>
        <c:crosses val="autoZero"/>
        <c:auto val="1"/>
        <c:lblAlgn val="ctr"/>
        <c:lblOffset val="100"/>
        <c:noMultiLvlLbl val="0"/>
      </c:catAx>
      <c:valAx>
        <c:axId val="2689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743072"/>
        <c:crosses val="autoZero"/>
        <c:crossBetween val="between"/>
      </c:valAx>
      <c:valAx>
        <c:axId val="2633650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78767"/>
        <c:crosses val="max"/>
        <c:crossBetween val="between"/>
      </c:valAx>
      <c:catAx>
        <c:axId val="43837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3365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Rear Camber &amp; Roll Changes with Ride Height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1"/>
          <c:tx>
            <c:strRef>
              <c:f>'Roll Center Heights'!$E$27</c:f>
              <c:strCache>
                <c:ptCount val="1"/>
                <c:pt idx="0">
                  <c:v>Rear Camber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'Roll Center Heights'!$A$28:$A$33</c:f>
              <c:strCache>
                <c:ptCount val="6"/>
                <c:pt idx="0">
                  <c:v>+ 1"</c:v>
                </c:pt>
                <c:pt idx="1">
                  <c:v>+ .5"</c:v>
                </c:pt>
                <c:pt idx="2">
                  <c:v>'Stock'</c:v>
                </c:pt>
                <c:pt idx="3">
                  <c:v>- .5"</c:v>
                </c:pt>
                <c:pt idx="4">
                  <c:v>- 1"</c:v>
                </c:pt>
                <c:pt idx="5">
                  <c:v>- 1.5"</c:v>
                </c:pt>
              </c:strCache>
            </c:strRef>
          </c:cat>
          <c:val>
            <c:numRef>
              <c:f>'Roll Center Heights'!$E$28:$E$33</c:f>
              <c:numCache>
                <c:formatCode>General</c:formatCode>
                <c:ptCount val="6"/>
                <c:pt idx="0">
                  <c:v>0.37</c:v>
                </c:pt>
                <c:pt idx="1">
                  <c:v>-0.52</c:v>
                </c:pt>
                <c:pt idx="2">
                  <c:v>-1.4</c:v>
                </c:pt>
                <c:pt idx="3">
                  <c:v>-2.2799999999999998</c:v>
                </c:pt>
                <c:pt idx="4">
                  <c:v>-3.15</c:v>
                </c:pt>
                <c:pt idx="5">
                  <c:v>-4.01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B1-9B41-AC0C-E03DAD5D2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743072"/>
        <c:axId val="268936975"/>
      </c:lineChart>
      <c:lineChart>
        <c:grouping val="standard"/>
        <c:varyColors val="0"/>
        <c:ser>
          <c:idx val="2"/>
          <c:order val="0"/>
          <c:tx>
            <c:strRef>
              <c:f>'Roll Center Heights'!$D$27</c:f>
              <c:strCache>
                <c:ptCount val="1"/>
                <c:pt idx="0">
                  <c:v>Roll Moment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'Roll Center Heights'!$A$28:$A$33</c:f>
              <c:strCache>
                <c:ptCount val="6"/>
                <c:pt idx="0">
                  <c:v>+ 1"</c:v>
                </c:pt>
                <c:pt idx="1">
                  <c:v>+ .5"</c:v>
                </c:pt>
                <c:pt idx="2">
                  <c:v>'Stock'</c:v>
                </c:pt>
                <c:pt idx="3">
                  <c:v>- .5"</c:v>
                </c:pt>
                <c:pt idx="4">
                  <c:v>- 1"</c:v>
                </c:pt>
                <c:pt idx="5">
                  <c:v>- 1.5"</c:v>
                </c:pt>
              </c:strCache>
            </c:strRef>
          </c:cat>
          <c:val>
            <c:numRef>
              <c:f>'Roll Center Heights'!$D$28:$D$33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1-9B41-AC0C-E03DAD5D2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869184"/>
        <c:axId val="1656261984"/>
      </c:lineChart>
      <c:catAx>
        <c:axId val="183374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936975"/>
        <c:crosses val="autoZero"/>
        <c:auto val="1"/>
        <c:lblAlgn val="ctr"/>
        <c:lblOffset val="100"/>
        <c:noMultiLvlLbl val="0"/>
      </c:catAx>
      <c:valAx>
        <c:axId val="2689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743072"/>
        <c:crosses val="autoZero"/>
        <c:crossBetween val="between"/>
      </c:valAx>
      <c:valAx>
        <c:axId val="165626198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69184"/>
        <c:crosses val="max"/>
        <c:crossBetween val="between"/>
      </c:valAx>
      <c:catAx>
        <c:axId val="1642869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6261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2412999</xdr:colOff>
      <xdr:row>8</xdr:row>
      <xdr:rowOff>113808</xdr:rowOff>
    </xdr:from>
    <xdr:to>
      <xdr:col>6</xdr:col>
      <xdr:colOff>5486399</xdr:colOff>
      <xdr:row>42</xdr:row>
      <xdr:rowOff>51317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E4643D-B10B-034E-6816-7D1BA1E0A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 t="44203" r="30400"/>
        <a:stretch/>
      </xdr:blipFill>
      <xdr:spPr>
        <a:xfrm rot="5400000">
          <a:off x="5099955" y="3713352"/>
          <a:ext cx="6945087" cy="3073400"/>
        </a:xfrm>
        <a:prstGeom prst="rect">
          <a:avLst/>
        </a:prstGeom>
      </xdr:spPr>
    </xdr:pic>
    <xdr:clientData/>
  </xdr:twoCellAnchor>
  <xdr:twoCellAnchor editAs="oneCell">
    <xdr:from>
      <xdr:col>6</xdr:col>
      <xdr:colOff>2306749</xdr:colOff>
      <xdr:row>0</xdr:row>
      <xdr:rowOff>50800</xdr:rowOff>
    </xdr:from>
    <xdr:to>
      <xdr:col>6</xdr:col>
      <xdr:colOff>5572236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FAB1A-5AE7-B588-9B2A-BC91D4B2C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9549" y="50800"/>
          <a:ext cx="3265487" cy="1219200"/>
        </a:xfrm>
        <a:prstGeom prst="rect">
          <a:avLst/>
        </a:prstGeom>
      </xdr:spPr>
    </xdr:pic>
    <xdr:clientData/>
  </xdr:twoCellAnchor>
  <xdr:twoCellAnchor>
    <xdr:from>
      <xdr:col>6</xdr:col>
      <xdr:colOff>2286000</xdr:colOff>
      <xdr:row>6</xdr:row>
      <xdr:rowOff>165103</xdr:rowOff>
    </xdr:from>
    <xdr:to>
      <xdr:col>6</xdr:col>
      <xdr:colOff>5600700</xdr:colOff>
      <xdr:row>42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D46672-AA72-C3AE-9390-373963058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730250</xdr:colOff>
      <xdr:row>0</xdr:row>
      <xdr:rowOff>44450</xdr:rowOff>
    </xdr:from>
    <xdr:to>
      <xdr:col>23</xdr:col>
      <xdr:colOff>596900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75A3A-50F7-673B-7BA7-91D635D5B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63500</xdr:colOff>
      <xdr:row>0</xdr:row>
      <xdr:rowOff>50800</xdr:rowOff>
    </xdr:from>
    <xdr:to>
      <xdr:col>14</xdr:col>
      <xdr:colOff>704850</xdr:colOff>
      <xdr:row>24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60B235-17F4-3244-BC3A-ACF749C78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50800</xdr:colOff>
      <xdr:row>25</xdr:row>
      <xdr:rowOff>63500</xdr:rowOff>
    </xdr:from>
    <xdr:to>
      <xdr:col>14</xdr:col>
      <xdr:colOff>698500</xdr:colOff>
      <xdr:row>49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797715-3F46-42E1-5D76-A94BEF059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749300</xdr:colOff>
      <xdr:row>25</xdr:row>
      <xdr:rowOff>50800</xdr:rowOff>
    </xdr:from>
    <xdr:to>
      <xdr:col>23</xdr:col>
      <xdr:colOff>571500</xdr:colOff>
      <xdr:row>49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42CCC5-A564-2E47-B69A-F287A6DF5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yson Gentile" id="{0AC93F03-B354-CC4E-BB9B-F7E99F01E2C2}" userId="191e25a7c06eff24" providerId="Windows Live"/>
  <person displayName="Bryson Gentile" id="{72A54C7F-8D0C-5A47-9270-6D1EBCF293AF}" userId="S::bryson@astra.com::303b5841-1d53-4119-b78e-7fb7e3784b5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3" dT="2024-06-21T05:40:59.60" personId="{72A54C7F-8D0C-5A47-9270-6D1EBCF293AF}" id="{E839F23A-0C0D-214B-A707-CC4040AFC93B}">
    <text>11.18 stock, 5.5 -70mm rear lower link</text>
  </threadedComment>
  <threadedComment ref="D83" dT="2025-01-12T05:33:53.78" personId="{0AC93F03-B354-CC4E-BB9B-F7E99F01E2C2}" id="{F817BED4-8DF7-4445-B5F5-FED15CDA804B}" parentId="{E839F23A-0C0D-214B-A707-CC4040AFC93B}">
    <text>Got this wrong. It’s 5.2”</text>
  </threadedComment>
  <threadedComment ref="D84" dT="2024-06-21T05:40:31.50" personId="{72A54C7F-8D0C-5A47-9270-6D1EBCF293AF}" id="{659CD4A8-8FF3-EA4E-AF99-31404B589A4F}">
    <text>-1.76 stock, -1.1 -70mm lower rear link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nam3forum.com/forums/forum/main-forum/member-build-journals/195928-black-tan-332it?p=290077" TargetMode="External"/><Relationship Id="rId1" Type="http://schemas.openxmlformats.org/officeDocument/2006/relationships/hyperlink" Target="https://cad.onshape.com/documents/a12883b6aa3e6af61334151b/w/4cab4a13b8724a373c31eed5/e/323956f4725d9001c1313b00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0335-983F-4E45-A466-29BB147B65B0}">
  <dimension ref="B1:O123"/>
  <sheetViews>
    <sheetView showGridLines="0" tabSelected="1" topLeftCell="A22" zoomScaleNormal="90" workbookViewId="0">
      <selection activeCell="C41" sqref="C41"/>
    </sheetView>
  </sheetViews>
  <sheetFormatPr baseColWidth="10" defaultColWidth="10.83203125" defaultRowHeight="16" x14ac:dyDescent="0.2"/>
  <cols>
    <col min="1" max="1" width="2.6640625" customWidth="1"/>
    <col min="2" max="2" width="16.6640625" customWidth="1"/>
    <col min="3" max="3" width="12.83203125" bestFit="1" customWidth="1"/>
    <col min="7" max="7" width="80.83203125" customWidth="1"/>
    <col min="12" max="13" width="0" hidden="1" customWidth="1"/>
    <col min="14" max="14" width="25.5" customWidth="1"/>
    <col min="15" max="15" width="10.83203125" customWidth="1"/>
  </cols>
  <sheetData>
    <row r="1" spans="2:11" ht="15.75" thickBot="1" x14ac:dyDescent="0.25">
      <c r="B1" s="72" t="s">
        <v>27</v>
      </c>
      <c r="C1" s="72"/>
      <c r="D1" s="72"/>
      <c r="E1" s="72"/>
      <c r="F1" s="72"/>
    </row>
    <row r="3" spans="2:11" ht="15.75" thickBot="1" x14ac:dyDescent="0.25">
      <c r="B3" s="71" t="s">
        <v>24</v>
      </c>
      <c r="C3" s="71"/>
      <c r="D3" s="71"/>
      <c r="E3" s="71"/>
      <c r="F3" s="71"/>
    </row>
    <row r="4" spans="2:11" ht="15" x14ac:dyDescent="0.2">
      <c r="B4" s="9" t="s">
        <v>7</v>
      </c>
      <c r="C4" s="14">
        <v>915</v>
      </c>
      <c r="D4" s="15">
        <v>901</v>
      </c>
      <c r="E4" s="9" t="s">
        <v>8</v>
      </c>
      <c r="F4" s="13">
        <f>SUM(C4:D4)/SUM(C4:D5)</f>
        <v>0.47714135575407252</v>
      </c>
    </row>
    <row r="5" spans="2:11" ht="15" x14ac:dyDescent="0.2">
      <c r="B5" s="9" t="s">
        <v>10</v>
      </c>
      <c r="C5" s="16">
        <v>1015</v>
      </c>
      <c r="D5" s="17">
        <v>975</v>
      </c>
      <c r="E5" s="9" t="s">
        <v>9</v>
      </c>
      <c r="F5" s="13">
        <f>SUM(C5:D5)/SUM(C4:D5)</f>
        <v>0.52285864424592743</v>
      </c>
    </row>
    <row r="6" spans="2:11" ht="15" x14ac:dyDescent="0.2">
      <c r="C6" s="13">
        <f>SUM(C4:C5)/SUM(C4:D5)</f>
        <v>0.50709406200735685</v>
      </c>
      <c r="D6" s="13">
        <f>SUM(D4:D5)/SUM(C4:D5)</f>
        <v>0.49290593799264321</v>
      </c>
      <c r="F6" s="3"/>
    </row>
    <row r="7" spans="2:11" ht="15" x14ac:dyDescent="0.2">
      <c r="F7" s="3"/>
    </row>
    <row r="8" spans="2:11" ht="15.75" thickBot="1" x14ac:dyDescent="0.25">
      <c r="B8" s="71" t="s">
        <v>26</v>
      </c>
      <c r="C8" s="71"/>
      <c r="D8" s="71"/>
      <c r="E8" s="71"/>
      <c r="F8" s="71"/>
      <c r="H8" s="71" t="s">
        <v>31</v>
      </c>
      <c r="I8" s="71"/>
      <c r="J8" s="71"/>
      <c r="K8" s="71"/>
    </row>
    <row r="9" spans="2:11" ht="15" x14ac:dyDescent="0.2">
      <c r="B9" s="9" t="s">
        <v>11</v>
      </c>
      <c r="C9" s="35">
        <f>SUM(C4:D5)</f>
        <v>3806</v>
      </c>
      <c r="D9" s="9" t="s">
        <v>2</v>
      </c>
      <c r="E9" s="51">
        <v>200</v>
      </c>
      <c r="F9" s="9" t="s">
        <v>57</v>
      </c>
      <c r="H9" s="9"/>
      <c r="I9" s="9" t="s">
        <v>15</v>
      </c>
      <c r="J9" s="9" t="s">
        <v>16</v>
      </c>
      <c r="K9" s="9"/>
    </row>
    <row r="10" spans="2:11" ht="15" x14ac:dyDescent="0.2">
      <c r="B10" s="9" t="s">
        <v>12</v>
      </c>
      <c r="C10" s="18">
        <v>2731</v>
      </c>
      <c r="D10" s="9" t="s">
        <v>21</v>
      </c>
      <c r="E10" s="44">
        <f>C10/25.4</f>
        <v>107.51968503937009</v>
      </c>
      <c r="F10" s="9" t="s">
        <v>1</v>
      </c>
      <c r="H10" s="9" t="s">
        <v>14</v>
      </c>
      <c r="I10" s="21">
        <f>E11/2-E13/2</f>
        <v>29.88188976377953</v>
      </c>
      <c r="J10" s="22">
        <f>E10/2</f>
        <v>53.759842519685044</v>
      </c>
      <c r="K10" s="9" t="s">
        <v>1</v>
      </c>
    </row>
    <row r="11" spans="2:11" ht="15" x14ac:dyDescent="0.2">
      <c r="B11" s="9" t="s">
        <v>51</v>
      </c>
      <c r="C11" s="18">
        <v>1763</v>
      </c>
      <c r="D11" s="9" t="s">
        <v>21</v>
      </c>
      <c r="E11" s="44">
        <f t="shared" ref="E11:E12" si="0">C11/25.4</f>
        <v>69.409448818897644</v>
      </c>
      <c r="F11" s="9" t="s">
        <v>1</v>
      </c>
      <c r="H11" s="9" t="s">
        <v>17</v>
      </c>
      <c r="I11" s="23">
        <f>E12/2-E14/2</f>
        <v>29.23228346456693</v>
      </c>
      <c r="J11" s="24">
        <f>-E10/2</f>
        <v>-53.759842519685044</v>
      </c>
      <c r="K11" s="9" t="s">
        <v>1</v>
      </c>
    </row>
    <row r="12" spans="2:11" ht="15" x14ac:dyDescent="0.2">
      <c r="B12" s="9" t="s">
        <v>52</v>
      </c>
      <c r="C12" s="18">
        <v>1730</v>
      </c>
      <c r="D12" s="9" t="s">
        <v>21</v>
      </c>
      <c r="E12" s="44">
        <f t="shared" si="0"/>
        <v>68.110236220472444</v>
      </c>
      <c r="F12" s="9" t="s">
        <v>1</v>
      </c>
      <c r="H12" s="9" t="s">
        <v>18</v>
      </c>
      <c r="I12" s="23">
        <f>-E11/2+E13/2</f>
        <v>-29.88188976377953</v>
      </c>
      <c r="J12" s="24">
        <f>E10/2</f>
        <v>53.759842519685044</v>
      </c>
      <c r="K12" s="9" t="s">
        <v>1</v>
      </c>
    </row>
    <row r="13" spans="2:11" ht="15" x14ac:dyDescent="0.2">
      <c r="B13" s="9" t="s">
        <v>19</v>
      </c>
      <c r="C13" s="18">
        <v>245</v>
      </c>
      <c r="D13" s="9" t="s">
        <v>21</v>
      </c>
      <c r="E13" s="44">
        <f>C13/25.4</f>
        <v>9.6456692913385833</v>
      </c>
      <c r="F13" s="9" t="s">
        <v>1</v>
      </c>
      <c r="H13" s="9" t="s">
        <v>33</v>
      </c>
      <c r="I13" s="25">
        <f>-E12/2+E14/2</f>
        <v>-29.23228346456693</v>
      </c>
      <c r="J13" s="26">
        <f>-E10/2</f>
        <v>-53.759842519685044</v>
      </c>
      <c r="K13" s="9" t="s">
        <v>1</v>
      </c>
    </row>
    <row r="14" spans="2:11" ht="15" x14ac:dyDescent="0.2">
      <c r="B14" s="9" t="s">
        <v>20</v>
      </c>
      <c r="C14" s="19">
        <v>245</v>
      </c>
      <c r="D14" s="9" t="s">
        <v>21</v>
      </c>
      <c r="E14" s="20">
        <f>C14/25.4</f>
        <v>9.6456692913385833</v>
      </c>
      <c r="F14" s="9" t="s">
        <v>1</v>
      </c>
    </row>
    <row r="16" spans="2:11" ht="15.75" thickBot="1" x14ac:dyDescent="0.25">
      <c r="B16" s="71" t="s">
        <v>25</v>
      </c>
      <c r="C16" s="71"/>
      <c r="D16" s="71"/>
      <c r="E16" s="71"/>
      <c r="F16" s="71"/>
    </row>
    <row r="17" spans="2:15" ht="15" x14ac:dyDescent="0.2">
      <c r="B17" s="9" t="s">
        <v>0</v>
      </c>
      <c r="C17" s="19">
        <v>21.25</v>
      </c>
      <c r="D17" s="9" t="s">
        <v>1</v>
      </c>
    </row>
    <row r="19" spans="2:15" ht="15.75" thickBot="1" x14ac:dyDescent="0.25">
      <c r="B19" s="72" t="s">
        <v>41</v>
      </c>
      <c r="C19" s="72"/>
      <c r="D19" s="72"/>
      <c r="E19" s="72"/>
      <c r="F19" s="72"/>
      <c r="G19" t="s">
        <v>13</v>
      </c>
    </row>
    <row r="20" spans="2:15" ht="15.75" thickBot="1" x14ac:dyDescent="0.25">
      <c r="B20" s="11" t="s">
        <v>22</v>
      </c>
      <c r="C20" s="34" t="s">
        <v>23</v>
      </c>
      <c r="D20" s="34" t="s">
        <v>42</v>
      </c>
      <c r="E20" s="34" t="s">
        <v>39</v>
      </c>
      <c r="F20" s="34" t="s">
        <v>40</v>
      </c>
    </row>
    <row r="21" spans="2:15" ht="15" x14ac:dyDescent="0.2">
      <c r="B21" s="4" t="s">
        <v>75</v>
      </c>
      <c r="C21">
        <v>-10</v>
      </c>
      <c r="D21">
        <v>-24</v>
      </c>
      <c r="E21">
        <v>42</v>
      </c>
      <c r="F21" s="5">
        <v>30</v>
      </c>
      <c r="G21" t="s">
        <v>160</v>
      </c>
      <c r="H21" t="s">
        <v>129</v>
      </c>
      <c r="I21" t="s">
        <v>63</v>
      </c>
      <c r="O21">
        <f>D21*-1</f>
        <v>24</v>
      </c>
    </row>
    <row r="22" spans="2:15" ht="15" x14ac:dyDescent="0.2">
      <c r="B22" s="4" t="s">
        <v>76</v>
      </c>
      <c r="C22">
        <v>10</v>
      </c>
      <c r="D22">
        <v>-26</v>
      </c>
      <c r="E22">
        <v>68</v>
      </c>
      <c r="F22" s="5">
        <v>12</v>
      </c>
      <c r="G22" t="s">
        <v>159</v>
      </c>
      <c r="I22" t="s">
        <v>133</v>
      </c>
      <c r="O22">
        <f>D22*-1</f>
        <v>26</v>
      </c>
    </row>
    <row r="23" spans="2:15" ht="15" x14ac:dyDescent="0.2">
      <c r="B23" s="4" t="s">
        <v>47</v>
      </c>
      <c r="C23">
        <v>-50</v>
      </c>
      <c r="D23">
        <v>0</v>
      </c>
      <c r="E23">
        <v>-36</v>
      </c>
      <c r="F23" s="5">
        <v>62</v>
      </c>
      <c r="G23" t="s">
        <v>62</v>
      </c>
      <c r="O23">
        <f t="shared" ref="O23:O45" si="1">D23*-1</f>
        <v>0</v>
      </c>
    </row>
    <row r="24" spans="2:15" ht="15" x14ac:dyDescent="0.2">
      <c r="B24" s="70" t="s">
        <v>146</v>
      </c>
      <c r="C24">
        <v>-47</v>
      </c>
      <c r="D24">
        <v>0</v>
      </c>
      <c r="E24">
        <v>-16</v>
      </c>
      <c r="F24" s="5">
        <v>58</v>
      </c>
      <c r="G24" t="s">
        <v>145</v>
      </c>
      <c r="O24">
        <f>D24*-1</f>
        <v>0</v>
      </c>
    </row>
    <row r="25" spans="2:15" ht="15" x14ac:dyDescent="0.2">
      <c r="B25" s="70" t="s">
        <v>153</v>
      </c>
      <c r="C25">
        <v>-43</v>
      </c>
      <c r="D25">
        <v>0</v>
      </c>
      <c r="E25">
        <v>6</v>
      </c>
      <c r="F25" s="5">
        <v>28</v>
      </c>
      <c r="G25" t="s">
        <v>172</v>
      </c>
      <c r="O25">
        <f t="shared" si="1"/>
        <v>0</v>
      </c>
    </row>
    <row r="26" spans="2:15" ht="15" x14ac:dyDescent="0.2">
      <c r="B26" s="70" t="s">
        <v>154</v>
      </c>
      <c r="D26">
        <v>0</v>
      </c>
      <c r="E26">
        <v>-30</v>
      </c>
      <c r="F26" s="5">
        <v>28</v>
      </c>
      <c r="G26" t="s">
        <v>169</v>
      </c>
      <c r="O26">
        <f t="shared" si="1"/>
        <v>0</v>
      </c>
    </row>
    <row r="27" spans="2:15" ht="15" x14ac:dyDescent="0.2">
      <c r="B27" s="4" t="s">
        <v>48</v>
      </c>
      <c r="C27">
        <v>-26</v>
      </c>
      <c r="D27">
        <v>-1</v>
      </c>
      <c r="E27">
        <v>-74</v>
      </c>
      <c r="F27" s="5">
        <v>12.5</v>
      </c>
      <c r="G27" t="s">
        <v>53</v>
      </c>
      <c r="O27">
        <f>D27*-1</f>
        <v>1</v>
      </c>
    </row>
    <row r="28" spans="2:15" ht="15" x14ac:dyDescent="0.2">
      <c r="B28" s="4" t="s">
        <v>55</v>
      </c>
      <c r="C28">
        <v>-17</v>
      </c>
      <c r="D28">
        <v>-1</v>
      </c>
      <c r="E28">
        <v>-74</v>
      </c>
      <c r="F28" s="5">
        <v>20</v>
      </c>
      <c r="G28" t="s">
        <v>56</v>
      </c>
      <c r="O28">
        <f t="shared" si="1"/>
        <v>1</v>
      </c>
    </row>
    <row r="29" spans="2:15" ht="15" x14ac:dyDescent="0.2">
      <c r="B29" s="4" t="s">
        <v>49</v>
      </c>
      <c r="C29">
        <v>-6</v>
      </c>
      <c r="D29">
        <v>0</v>
      </c>
      <c r="E29">
        <v>42</v>
      </c>
      <c r="F29" s="5">
        <v>30</v>
      </c>
      <c r="G29" t="s">
        <v>54</v>
      </c>
      <c r="O29">
        <f t="shared" si="1"/>
        <v>0</v>
      </c>
    </row>
    <row r="30" spans="2:15" ht="15" x14ac:dyDescent="0.2">
      <c r="B30" s="4" t="s">
        <v>130</v>
      </c>
      <c r="C30">
        <v>-35</v>
      </c>
      <c r="D30">
        <v>0</v>
      </c>
      <c r="E30">
        <v>0</v>
      </c>
      <c r="F30" s="5">
        <v>20.7</v>
      </c>
      <c r="G30" t="s">
        <v>132</v>
      </c>
      <c r="O30">
        <f t="shared" si="1"/>
        <v>0</v>
      </c>
    </row>
    <row r="31" spans="2:15" ht="15" x14ac:dyDescent="0.2">
      <c r="B31" s="4" t="s">
        <v>50</v>
      </c>
      <c r="C31">
        <v>-30</v>
      </c>
      <c r="D31">
        <v>-24</v>
      </c>
      <c r="E31">
        <v>-76</v>
      </c>
      <c r="F31" s="5">
        <v>20</v>
      </c>
      <c r="G31" t="s">
        <v>64</v>
      </c>
      <c r="O31">
        <f t="shared" si="1"/>
        <v>24</v>
      </c>
    </row>
    <row r="32" spans="2:15" ht="15" x14ac:dyDescent="0.2">
      <c r="B32" s="4" t="s">
        <v>68</v>
      </c>
      <c r="C32">
        <v>18</v>
      </c>
      <c r="D32">
        <v>0</v>
      </c>
      <c r="E32">
        <v>-90</v>
      </c>
      <c r="F32" s="5">
        <v>20</v>
      </c>
      <c r="G32" t="s">
        <v>74</v>
      </c>
      <c r="O32">
        <f t="shared" si="1"/>
        <v>0</v>
      </c>
    </row>
    <row r="33" spans="2:15" ht="15" x14ac:dyDescent="0.2">
      <c r="B33" s="4" t="s">
        <v>70</v>
      </c>
      <c r="C33">
        <v>5</v>
      </c>
      <c r="D33">
        <v>0</v>
      </c>
      <c r="E33">
        <v>-42</v>
      </c>
      <c r="F33" s="5">
        <v>6</v>
      </c>
      <c r="G33" t="s">
        <v>71</v>
      </c>
      <c r="O33">
        <f t="shared" si="1"/>
        <v>0</v>
      </c>
    </row>
    <row r="34" spans="2:15" ht="15" x14ac:dyDescent="0.2">
      <c r="B34" s="4" t="s">
        <v>72</v>
      </c>
      <c r="C34">
        <v>5</v>
      </c>
      <c r="D34">
        <v>0</v>
      </c>
      <c r="E34">
        <v>-58</v>
      </c>
      <c r="F34" s="5">
        <v>22</v>
      </c>
      <c r="G34" t="s">
        <v>73</v>
      </c>
      <c r="O34">
        <f t="shared" si="1"/>
        <v>0</v>
      </c>
    </row>
    <row r="35" spans="2:15" ht="15" x14ac:dyDescent="0.2">
      <c r="B35" s="70" t="s">
        <v>135</v>
      </c>
      <c r="C35">
        <v>-20</v>
      </c>
      <c r="D35">
        <v>24</v>
      </c>
      <c r="E35">
        <v>-76</v>
      </c>
      <c r="F35" s="5">
        <v>15</v>
      </c>
      <c r="G35" t="s">
        <v>133</v>
      </c>
      <c r="O35">
        <f t="shared" si="1"/>
        <v>-24</v>
      </c>
    </row>
    <row r="36" spans="2:15" ht="15" x14ac:dyDescent="0.2">
      <c r="B36" s="4" t="s">
        <v>147</v>
      </c>
      <c r="C36">
        <v>-3</v>
      </c>
      <c r="D36">
        <v>0</v>
      </c>
      <c r="E36">
        <v>72</v>
      </c>
      <c r="F36" s="5">
        <v>24</v>
      </c>
      <c r="G36" t="s">
        <v>158</v>
      </c>
      <c r="O36">
        <f t="shared" si="1"/>
        <v>0</v>
      </c>
    </row>
    <row r="37" spans="2:15" ht="15" x14ac:dyDescent="0.2">
      <c r="B37" s="4" t="s">
        <v>148</v>
      </c>
      <c r="C37">
        <v>6</v>
      </c>
      <c r="D37">
        <v>0</v>
      </c>
      <c r="E37">
        <v>-34</v>
      </c>
      <c r="F37" s="5">
        <v>24</v>
      </c>
      <c r="G37" t="s">
        <v>157</v>
      </c>
      <c r="O37">
        <f t="shared" si="1"/>
        <v>0</v>
      </c>
    </row>
    <row r="38" spans="2:15" ht="15" x14ac:dyDescent="0.2">
      <c r="B38" s="70" t="s">
        <v>150</v>
      </c>
      <c r="C38">
        <v>-10</v>
      </c>
      <c r="D38">
        <v>0</v>
      </c>
      <c r="E38">
        <v>-46</v>
      </c>
      <c r="F38" s="5">
        <v>18</v>
      </c>
      <c r="G38" t="s">
        <v>149</v>
      </c>
      <c r="O38">
        <f t="shared" si="1"/>
        <v>0</v>
      </c>
    </row>
    <row r="39" spans="2:15" ht="15" x14ac:dyDescent="0.2">
      <c r="B39" s="70" t="s">
        <v>151</v>
      </c>
      <c r="C39">
        <v>-20</v>
      </c>
      <c r="D39">
        <v>0</v>
      </c>
      <c r="E39">
        <v>-90</v>
      </c>
      <c r="F39" s="5">
        <v>30</v>
      </c>
      <c r="G39" s="12" t="s">
        <v>156</v>
      </c>
      <c r="O39">
        <f t="shared" si="1"/>
        <v>0</v>
      </c>
    </row>
    <row r="40" spans="2:15" ht="15" x14ac:dyDescent="0.2">
      <c r="B40" s="70" t="s">
        <v>152</v>
      </c>
      <c r="C40">
        <v>-20</v>
      </c>
      <c r="D40">
        <v>0</v>
      </c>
      <c r="E40">
        <v>55</v>
      </c>
      <c r="F40" s="5">
        <v>30</v>
      </c>
      <c r="G40" s="12" t="s">
        <v>155</v>
      </c>
      <c r="O40">
        <f t="shared" si="1"/>
        <v>0</v>
      </c>
    </row>
    <row r="41" spans="2:15" ht="15" x14ac:dyDescent="0.2">
      <c r="B41" s="70" t="s">
        <v>161</v>
      </c>
      <c r="D41">
        <v>0</v>
      </c>
      <c r="E41">
        <v>52</v>
      </c>
      <c r="F41" s="5">
        <v>20</v>
      </c>
      <c r="G41" s="12" t="s">
        <v>164</v>
      </c>
      <c r="O41">
        <f t="shared" si="1"/>
        <v>0</v>
      </c>
    </row>
    <row r="42" spans="2:15" ht="15" x14ac:dyDescent="0.2">
      <c r="B42" s="70" t="s">
        <v>162</v>
      </c>
      <c r="C42">
        <v>-40</v>
      </c>
      <c r="D42">
        <v>0</v>
      </c>
      <c r="E42">
        <v>0</v>
      </c>
      <c r="F42" s="5">
        <v>18</v>
      </c>
      <c r="G42" s="12" t="s">
        <v>163</v>
      </c>
      <c r="O42">
        <f t="shared" si="1"/>
        <v>0</v>
      </c>
    </row>
    <row r="43" spans="2:15" ht="15" x14ac:dyDescent="0.2">
      <c r="B43" s="70" t="s">
        <v>165</v>
      </c>
      <c r="D43">
        <v>0</v>
      </c>
      <c r="E43">
        <v>-46</v>
      </c>
      <c r="F43" s="5">
        <v>36</v>
      </c>
      <c r="G43" s="12" t="s">
        <v>170</v>
      </c>
      <c r="O43">
        <f t="shared" si="1"/>
        <v>0</v>
      </c>
    </row>
    <row r="44" spans="2:15" ht="15" x14ac:dyDescent="0.2">
      <c r="B44" s="70" t="s">
        <v>166</v>
      </c>
      <c r="C44">
        <v>-6</v>
      </c>
      <c r="D44">
        <v>0</v>
      </c>
      <c r="E44">
        <v>76</v>
      </c>
      <c r="F44" s="5">
        <v>17</v>
      </c>
      <c r="G44" s="12" t="s">
        <v>167</v>
      </c>
      <c r="O44">
        <f t="shared" si="1"/>
        <v>0</v>
      </c>
    </row>
    <row r="45" spans="2:15" ht="15" x14ac:dyDescent="0.2">
      <c r="B45" s="70" t="s">
        <v>168</v>
      </c>
      <c r="C45">
        <v>-4</v>
      </c>
      <c r="D45">
        <v>-24</v>
      </c>
      <c r="E45">
        <v>62</v>
      </c>
      <c r="F45" s="5">
        <v>26</v>
      </c>
      <c r="G45" s="12"/>
      <c r="O45">
        <f t="shared" si="1"/>
        <v>24</v>
      </c>
    </row>
    <row r="46" spans="2:15" ht="15" x14ac:dyDescent="0.2">
      <c r="B46" s="70"/>
      <c r="F46" s="5"/>
      <c r="G46" s="12"/>
    </row>
    <row r="47" spans="2:15" ht="15" x14ac:dyDescent="0.2">
      <c r="B47" s="6" t="s">
        <v>69</v>
      </c>
      <c r="C47" s="7">
        <v>-50</v>
      </c>
      <c r="D47" s="7">
        <v>14</v>
      </c>
      <c r="E47" s="7">
        <v>-36</v>
      </c>
      <c r="F47" s="8">
        <v>20</v>
      </c>
      <c r="G47" t="s">
        <v>131</v>
      </c>
      <c r="O47">
        <f>D47*-1</f>
        <v>-14</v>
      </c>
    </row>
    <row r="48" spans="2:15" ht="15" x14ac:dyDescent="0.2">
      <c r="C48" s="43">
        <f>SUM(C21:C47)</f>
        <v>-393</v>
      </c>
      <c r="D48" t="s">
        <v>2</v>
      </c>
    </row>
    <row r="50" spans="2:15" ht="17" thickBot="1" x14ac:dyDescent="0.25">
      <c r="B50" s="71" t="s">
        <v>32</v>
      </c>
      <c r="C50" s="71"/>
      <c r="D50" s="71"/>
      <c r="E50" s="71"/>
      <c r="F50" s="71"/>
      <c r="H50" s="10" t="s">
        <v>44</v>
      </c>
    </row>
    <row r="51" spans="2:15" ht="15" x14ac:dyDescent="0.2">
      <c r="B51" s="9" t="s">
        <v>3</v>
      </c>
      <c r="C51" s="35">
        <f>C9+SUM(C21:C47)</f>
        <v>3413</v>
      </c>
      <c r="D51" s="9" t="s">
        <v>2</v>
      </c>
      <c r="E51" s="45">
        <f>C51-E9</f>
        <v>3213</v>
      </c>
      <c r="F51" s="9" t="s">
        <v>58</v>
      </c>
      <c r="G51" t="s">
        <v>171</v>
      </c>
      <c r="H51" s="40">
        <f>AVERAGE(I10:I11)-C59</f>
        <v>29.191825027511761</v>
      </c>
      <c r="I51" t="s">
        <v>37</v>
      </c>
    </row>
    <row r="52" spans="2:15" ht="15" x14ac:dyDescent="0.2">
      <c r="B52" s="9" t="s">
        <v>4</v>
      </c>
      <c r="C52" s="27">
        <f>E59</f>
        <v>20.05977146205684</v>
      </c>
      <c r="D52" s="9" t="s">
        <v>1</v>
      </c>
      <c r="H52" s="40">
        <f>AVERAGE(I10:I11)+C59</f>
        <v>29.922348200834698</v>
      </c>
      <c r="I52" t="s">
        <v>38</v>
      </c>
    </row>
    <row r="53" spans="2:15" ht="15" x14ac:dyDescent="0.2">
      <c r="B53" s="9" t="s">
        <v>5</v>
      </c>
      <c r="C53" s="27">
        <f>C52-xcm</f>
        <v>-1.1902285379431596</v>
      </c>
      <c r="D53" s="9" t="s">
        <v>1</v>
      </c>
      <c r="H53" s="41">
        <f>-D59+J10</f>
        <v>53.863625876973408</v>
      </c>
      <c r="I53" t="s">
        <v>35</v>
      </c>
    </row>
    <row r="54" spans="2:15" ht="15" x14ac:dyDescent="0.2">
      <c r="B54" s="9" t="s">
        <v>29</v>
      </c>
      <c r="C54" s="27">
        <f>C59-C58</f>
        <v>-5.1879189816616711E-2</v>
      </c>
      <c r="D54" s="9" t="s">
        <v>1</v>
      </c>
      <c r="E54" s="12" t="s">
        <v>43</v>
      </c>
      <c r="H54" s="42">
        <f>D59+J10</f>
        <v>53.65605916239668</v>
      </c>
      <c r="I54" t="s">
        <v>36</v>
      </c>
    </row>
    <row r="55" spans="2:15" ht="15" x14ac:dyDescent="0.2">
      <c r="B55" s="9" t="s">
        <v>30</v>
      </c>
      <c r="C55" s="28">
        <f>D59-D58</f>
        <v>2.3539708724607653</v>
      </c>
      <c r="D55" s="9" t="s">
        <v>1</v>
      </c>
      <c r="E55" s="12" t="s">
        <v>28</v>
      </c>
    </row>
    <row r="57" spans="2:15" ht="15.75" thickBot="1" x14ac:dyDescent="0.25">
      <c r="B57" s="10"/>
      <c r="C57" s="34" t="s">
        <v>42</v>
      </c>
      <c r="D57" s="34" t="s">
        <v>39</v>
      </c>
      <c r="E57" s="34" t="s">
        <v>40</v>
      </c>
      <c r="F57" s="10"/>
    </row>
    <row r="58" spans="2:15" ht="15" x14ac:dyDescent="0.2">
      <c r="B58" s="9" t="s">
        <v>6</v>
      </c>
      <c r="C58" s="29">
        <f>(C4*I10+C5*I11+D4*I12+D5*I13)/C9</f>
        <v>0.41714077647808467</v>
      </c>
      <c r="D58" s="30">
        <f>(C4*J10+C5*J11+D4*J12+D5*J13)/C9</f>
        <v>-2.4577542297491326</v>
      </c>
      <c r="E58" s="31">
        <f>xcm</f>
        <v>21.25</v>
      </c>
      <c r="F58" s="9" t="s">
        <v>1</v>
      </c>
      <c r="G58" t="s">
        <v>45</v>
      </c>
      <c r="I58" s="2"/>
      <c r="O58">
        <f>C58*-1</f>
        <v>-0.41714077647808467</v>
      </c>
    </row>
    <row r="59" spans="2:15" ht="15" customHeight="1" x14ac:dyDescent="0.2">
      <c r="B59" s="9" t="s">
        <v>6</v>
      </c>
      <c r="C59" s="32">
        <f>(C4*I10+C5*I11+D4*I12+D5*I13+SUMPRODUCT(C21:C47,D21:D47))/(C9+SUM(C21:C47))</f>
        <v>0.36526158666146796</v>
      </c>
      <c r="D59" s="33">
        <f>(C4*J10+C5*J11+D4*J12+D5*J13+SUMPRODUCT(C21:C47,E21:E47))/(C9+SUM(C21:C47))</f>
        <v>-0.10378335728836741</v>
      </c>
      <c r="E59" s="26">
        <f>(xcm*C9+SUMPRODUCT(C21:C47,F21:F47))/(C9+SUM(C21:C47))</f>
        <v>20.05977146205684</v>
      </c>
      <c r="F59" s="9" t="s">
        <v>1</v>
      </c>
      <c r="G59" t="s">
        <v>46</v>
      </c>
      <c r="O59">
        <f>C59*-1</f>
        <v>-0.36526158666146796</v>
      </c>
    </row>
    <row r="60" spans="2:15" ht="15" x14ac:dyDescent="0.2">
      <c r="B60" t="s">
        <v>13</v>
      </c>
      <c r="E60" s="1"/>
    </row>
    <row r="62" spans="2:15" ht="15.75" thickBot="1" x14ac:dyDescent="0.25">
      <c r="B62" s="71" t="s">
        <v>34</v>
      </c>
      <c r="C62" s="71"/>
      <c r="D62" s="71"/>
      <c r="E62" s="71"/>
      <c r="F62" s="71"/>
    </row>
    <row r="63" spans="2:15" ht="15" x14ac:dyDescent="0.2">
      <c r="B63" s="9" t="s">
        <v>7</v>
      </c>
      <c r="C63" s="36">
        <f>H52/SUM(H51:H52)*H54/SUM(H53:H54)*C51</f>
        <v>862.12676770543567</v>
      </c>
      <c r="D63" s="37">
        <f>H51/SUM(H51:H52)*H54/SUM(H53:H54)*C51</f>
        <v>841.07883463802841</v>
      </c>
      <c r="E63" s="9" t="s">
        <v>8</v>
      </c>
      <c r="F63" s="13">
        <f>SUM(C63:D63)/SUM(C63:D64)</f>
        <v>0.49903475017388332</v>
      </c>
      <c r="G63" s="49">
        <f>F63-F4</f>
        <v>2.1893394419810808E-2</v>
      </c>
    </row>
    <row r="64" spans="2:15" ht="15" x14ac:dyDescent="0.2">
      <c r="B64" s="9" t="s">
        <v>10</v>
      </c>
      <c r="C64" s="38">
        <f>H52/SUM(H51:H52)*H53/SUM(H53:H54)*C51</f>
        <v>865.46187698320921</v>
      </c>
      <c r="D64" s="39">
        <f>H51/SUM(H51:H52)*H53/SUM(H53:H54)*C51</f>
        <v>844.33252067332694</v>
      </c>
      <c r="E64" s="9" t="s">
        <v>9</v>
      </c>
      <c r="F64" s="13">
        <f>SUM(C64:D64)/SUM(C63:D64)</f>
        <v>0.50096524982611657</v>
      </c>
      <c r="G64" s="49">
        <f>F64-F5</f>
        <v>-2.1893394419810863E-2</v>
      </c>
    </row>
    <row r="65" spans="2:10" ht="15" x14ac:dyDescent="0.2">
      <c r="C65" s="13">
        <f>SUM(C63:C64)/SUM(C63:D64)</f>
        <v>0.50617891728351727</v>
      </c>
      <c r="D65" s="13">
        <f>SUM(D63:D64)/SUM(C63:D64)</f>
        <v>0.49382108271648256</v>
      </c>
    </row>
    <row r="66" spans="2:10" ht="15" x14ac:dyDescent="0.2">
      <c r="C66" s="13">
        <f>C65-C6</f>
        <v>-9.1514472383957823E-4</v>
      </c>
      <c r="D66" s="13">
        <f>D65-D6</f>
        <v>9.1514472383935619E-4</v>
      </c>
    </row>
    <row r="68" spans="2:10" ht="17" thickBot="1" x14ac:dyDescent="0.25">
      <c r="B68" s="71" t="s">
        <v>60</v>
      </c>
      <c r="C68" s="71"/>
      <c r="D68" s="71"/>
    </row>
    <row r="69" spans="2:10" x14ac:dyDescent="0.2">
      <c r="B69" s="9" t="s">
        <v>59</v>
      </c>
      <c r="C69" s="46">
        <f>((51.6+132)/2)/25.4</f>
        <v>3.6141732283464569</v>
      </c>
      <c r="D69" s="9" t="s">
        <v>1</v>
      </c>
      <c r="E69" s="48" t="s">
        <v>61</v>
      </c>
      <c r="G69" t="s">
        <v>134</v>
      </c>
    </row>
    <row r="70" spans="2:10" x14ac:dyDescent="0.2">
      <c r="B70" s="9" t="s">
        <v>65</v>
      </c>
      <c r="C70" s="50">
        <f>(E59-E58)/(E58-C69)</f>
        <v>-6.7489239566371817E-2</v>
      </c>
      <c r="D70" s="9"/>
      <c r="E70" t="s">
        <v>67</v>
      </c>
    </row>
    <row r="71" spans="2:10" x14ac:dyDescent="0.2">
      <c r="B71" s="9" t="s">
        <v>66</v>
      </c>
      <c r="C71" s="47">
        <f>(-C9*(E58-C69)+C51*(E59-C69))/(C9*(E58-C69))</f>
        <v>-0.16377844840778427</v>
      </c>
      <c r="D71" s="9"/>
      <c r="E71" t="s">
        <v>144</v>
      </c>
    </row>
    <row r="73" spans="2:10" ht="17" thickBot="1" x14ac:dyDescent="0.25">
      <c r="B73" s="71" t="s">
        <v>77</v>
      </c>
      <c r="C73" s="71"/>
      <c r="D73" s="71"/>
    </row>
    <row r="74" spans="2:10" x14ac:dyDescent="0.2">
      <c r="B74" s="9" t="s">
        <v>84</v>
      </c>
      <c r="C74" s="46">
        <f>C52-C69</f>
        <v>16.445598233710385</v>
      </c>
      <c r="D74" s="9" t="s">
        <v>1</v>
      </c>
    </row>
    <row r="75" spans="2:10" ht="17" thickBot="1" x14ac:dyDescent="0.25">
      <c r="B75" s="9" t="s">
        <v>78</v>
      </c>
      <c r="C75" s="54">
        <v>2779</v>
      </c>
      <c r="D75" s="9" t="s">
        <v>79</v>
      </c>
      <c r="E75" s="71" t="s">
        <v>83</v>
      </c>
      <c r="F75" s="71"/>
      <c r="G75" t="s">
        <v>107</v>
      </c>
    </row>
    <row r="76" spans="2:10" x14ac:dyDescent="0.2">
      <c r="B76" s="9" t="s">
        <v>80</v>
      </c>
      <c r="C76" s="52">
        <f>0.8*C51*C74/12/C75</f>
        <v>1.346499382791257</v>
      </c>
      <c r="D76" s="9" t="s">
        <v>82</v>
      </c>
      <c r="E76" s="52">
        <f>AVERAGE($I$10:$I$11)*SIN(RADIANS(C76))</f>
        <v>0.69455265167557678</v>
      </c>
      <c r="F76" s="9" t="s">
        <v>1</v>
      </c>
      <c r="I76">
        <f>155/0.219</f>
        <v>707.76255707762562</v>
      </c>
    </row>
    <row r="77" spans="2:10" x14ac:dyDescent="0.2">
      <c r="B77" s="9" t="s">
        <v>81</v>
      </c>
      <c r="C77" s="52">
        <f>1*C51*C74/12/C75</f>
        <v>1.6831242284890708</v>
      </c>
      <c r="D77" s="9" t="s">
        <v>82</v>
      </c>
      <c r="E77" s="52">
        <f t="shared" ref="E77:E78" si="2">AVERAGE($I$10:$I$11)*SIN(RADIANS(C77))</f>
        <v>0.86814586117212655</v>
      </c>
      <c r="F77" s="9" t="s">
        <v>1</v>
      </c>
      <c r="I77">
        <f>I76*0.63</f>
        <v>445.89041095890411</v>
      </c>
    </row>
    <row r="78" spans="2:10" x14ac:dyDescent="0.2">
      <c r="B78" s="9" t="s">
        <v>101</v>
      </c>
      <c r="C78" s="53">
        <f>1.2*C51*C74/12/C75</f>
        <v>2.0197490741868851</v>
      </c>
      <c r="D78" s="9" t="s">
        <v>82</v>
      </c>
      <c r="E78" s="53">
        <f t="shared" si="2"/>
        <v>1.0417091039963013</v>
      </c>
      <c r="F78" s="9" t="s">
        <v>1</v>
      </c>
      <c r="I78">
        <f>900+I77</f>
        <v>1345.8904109589041</v>
      </c>
      <c r="J78">
        <f>900-I77</f>
        <v>454.10958904109589</v>
      </c>
    </row>
    <row r="79" spans="2:10" x14ac:dyDescent="0.2">
      <c r="I79">
        <f>I78/(J78+I78)</f>
        <v>0.74771689497716898</v>
      </c>
    </row>
    <row r="80" spans="2:10" ht="17" thickBot="1" x14ac:dyDescent="0.25">
      <c r="B80" s="71" t="s">
        <v>102</v>
      </c>
      <c r="C80" s="71"/>
      <c r="D80" s="71"/>
      <c r="E80" s="71"/>
    </row>
    <row r="81" spans="2:14" x14ac:dyDescent="0.2">
      <c r="B81" s="9"/>
      <c r="C81" s="62" t="s">
        <v>90</v>
      </c>
      <c r="D81" s="62" t="s">
        <v>91</v>
      </c>
      <c r="E81" s="9"/>
    </row>
    <row r="82" spans="2:14" x14ac:dyDescent="0.2">
      <c r="B82" s="9" t="s">
        <v>104</v>
      </c>
      <c r="C82" s="64">
        <v>155</v>
      </c>
      <c r="D82" s="65">
        <v>380</v>
      </c>
      <c r="E82" s="9" t="s">
        <v>105</v>
      </c>
    </row>
    <row r="83" spans="2:14" x14ac:dyDescent="0.2">
      <c r="B83" s="9" t="s">
        <v>103</v>
      </c>
      <c r="C83" s="56">
        <f>39/25.4</f>
        <v>1.5354330708661419</v>
      </c>
      <c r="D83" s="57">
        <v>5.2</v>
      </c>
      <c r="E83" s="9" t="s">
        <v>1</v>
      </c>
    </row>
    <row r="84" spans="2:14" x14ac:dyDescent="0.2">
      <c r="B84" s="9" t="s">
        <v>119</v>
      </c>
      <c r="C84" s="56">
        <v>-0.48</v>
      </c>
      <c r="D84" s="57">
        <v>-1.6</v>
      </c>
      <c r="E84" s="9" t="s">
        <v>120</v>
      </c>
      <c r="F84" t="s">
        <v>121</v>
      </c>
      <c r="H84" t="s">
        <v>123</v>
      </c>
      <c r="I84" t="s">
        <v>124</v>
      </c>
      <c r="J84" t="s">
        <v>125</v>
      </c>
    </row>
    <row r="85" spans="2:14" x14ac:dyDescent="0.2">
      <c r="B85" s="55" t="s">
        <v>126</v>
      </c>
      <c r="C85" s="58">
        <f>F121</f>
        <v>50.009424800598623</v>
      </c>
      <c r="D85" s="59">
        <f>45/100*(D116-E116)</f>
        <v>439.66141654025233</v>
      </c>
      <c r="E85" s="9" t="s">
        <v>2</v>
      </c>
      <c r="F85" s="48" t="s">
        <v>136</v>
      </c>
      <c r="H85">
        <v>0.8</v>
      </c>
      <c r="I85">
        <f>(($C$63+$D$63)*$I$10-0.8*($C$63+$D$63)*$C$83)/(2*$I$10)</f>
        <v>816.59620381131299</v>
      </c>
      <c r="N85">
        <f>I85/(C63+D63)</f>
        <v>0.47944664031620554</v>
      </c>
    </row>
    <row r="86" spans="2:14" x14ac:dyDescent="0.2">
      <c r="B86" s="55" t="s">
        <v>127</v>
      </c>
      <c r="C86" s="58">
        <f t="shared" ref="C86:C87" si="3">F122</f>
        <v>62.511781000748272</v>
      </c>
      <c r="D86" s="59">
        <f t="shared" ref="D86:D87" si="4">45/100*(D117-E117)</f>
        <v>549.57677067531529</v>
      </c>
      <c r="E86" s="9" t="s">
        <v>2</v>
      </c>
      <c r="H86">
        <v>1</v>
      </c>
      <c r="I86">
        <f>(($C$63+$D$63)*$I$10-1*($C$63+$D$63)*$C$83)/(2*$I$10)</f>
        <v>807.8445544712082</v>
      </c>
    </row>
    <row r="87" spans="2:14" x14ac:dyDescent="0.2">
      <c r="B87" s="55" t="s">
        <v>128</v>
      </c>
      <c r="C87" s="60">
        <f t="shared" si="3"/>
        <v>75.014137200897906</v>
      </c>
      <c r="D87" s="61">
        <f t="shared" si="4"/>
        <v>659.49212481037841</v>
      </c>
      <c r="E87" s="9" t="s">
        <v>2</v>
      </c>
      <c r="H87">
        <v>1.2</v>
      </c>
      <c r="I87">
        <f>(($C$63+$D$63)*$I$10-1.2*($C$63+$D$63)*$C$83)/(2*$I$10)</f>
        <v>799.09290513110363</v>
      </c>
    </row>
    <row r="88" spans="2:14" x14ac:dyDescent="0.2">
      <c r="B88" s="55" t="s">
        <v>108</v>
      </c>
      <c r="C88" s="23">
        <f>C85/($C$82*2)</f>
        <v>0.16132072516322135</v>
      </c>
      <c r="D88" s="24">
        <f>D85/($D$82*2)</f>
        <v>0.57850186386875302</v>
      </c>
      <c r="E88" s="9" t="s">
        <v>1</v>
      </c>
    </row>
    <row r="89" spans="2:14" x14ac:dyDescent="0.2">
      <c r="B89" s="55" t="s">
        <v>109</v>
      </c>
      <c r="C89" s="23">
        <f>C86/($C$82*2)</f>
        <v>0.2016509064540267</v>
      </c>
      <c r="D89" s="24">
        <f>D86/($D$82*2)</f>
        <v>0.72312732983594119</v>
      </c>
      <c r="E89" s="9" t="s">
        <v>1</v>
      </c>
    </row>
    <row r="90" spans="2:14" x14ac:dyDescent="0.2">
      <c r="B90" s="55" t="s">
        <v>110</v>
      </c>
      <c r="C90" s="25">
        <f>C87/($C$82*2)</f>
        <v>0.24198108774483196</v>
      </c>
      <c r="D90" s="26">
        <f>D87/($D$82*2)</f>
        <v>0.86775279580312947</v>
      </c>
      <c r="E90" s="9" t="s">
        <v>1</v>
      </c>
    </row>
    <row r="91" spans="2:14" x14ac:dyDescent="0.2">
      <c r="C91" s="1"/>
      <c r="D91" s="1"/>
    </row>
    <row r="92" spans="2:14" ht="17" thickBot="1" x14ac:dyDescent="0.25">
      <c r="B92" s="71" t="s">
        <v>118</v>
      </c>
      <c r="C92" s="71"/>
      <c r="D92" s="71"/>
      <c r="E92" s="71"/>
      <c r="F92" s="71"/>
      <c r="L92">
        <f>(E116-F116)*0.12/100</f>
        <v>0.43825450000732308</v>
      </c>
      <c r="M92">
        <f>(F116-L92)*0.12/100</f>
        <v>8.8101113292001962E-4</v>
      </c>
    </row>
    <row r="93" spans="2:14" x14ac:dyDescent="0.2">
      <c r="B93" s="9"/>
      <c r="C93" s="68" t="s">
        <v>114</v>
      </c>
      <c r="D93" s="68" t="s">
        <v>115</v>
      </c>
      <c r="E93" s="68" t="s">
        <v>116</v>
      </c>
      <c r="F93" s="68" t="s">
        <v>117</v>
      </c>
    </row>
    <row r="94" spans="2:14" x14ac:dyDescent="0.2">
      <c r="B94" s="55" t="s">
        <v>108</v>
      </c>
      <c r="C94" s="23">
        <f t="shared" ref="C94:D96" si="5">$E76-C88</f>
        <v>0.5332319265123554</v>
      </c>
      <c r="D94" s="24">
        <f>$E76-D88</f>
        <v>0.11605078780682376</v>
      </c>
      <c r="E94" s="23">
        <f t="shared" ref="E94:F96" si="6">-$E76-C88</f>
        <v>-0.85587337683879816</v>
      </c>
      <c r="F94" s="24">
        <f>-$E76-D88</f>
        <v>-1.2730545155443298</v>
      </c>
      <c r="G94" t="s">
        <v>122</v>
      </c>
    </row>
    <row r="95" spans="2:14" x14ac:dyDescent="0.2">
      <c r="B95" s="55" t="s">
        <v>109</v>
      </c>
      <c r="C95" s="23">
        <f t="shared" si="5"/>
        <v>0.66649495471809983</v>
      </c>
      <c r="D95" s="24">
        <f t="shared" si="5"/>
        <v>0.14501853133618536</v>
      </c>
      <c r="E95" s="23">
        <f t="shared" si="6"/>
        <v>-1.0697967676261533</v>
      </c>
      <c r="F95" s="24">
        <f t="shared" si="6"/>
        <v>-1.5912731910080677</v>
      </c>
      <c r="G95" t="s">
        <v>122</v>
      </c>
    </row>
    <row r="96" spans="2:14" x14ac:dyDescent="0.2">
      <c r="B96" s="55" t="s">
        <v>110</v>
      </c>
      <c r="C96" s="25">
        <f t="shared" si="5"/>
        <v>0.79972801625146939</v>
      </c>
      <c r="D96" s="26">
        <f t="shared" si="5"/>
        <v>0.17395630819317187</v>
      </c>
      <c r="E96" s="25">
        <f t="shared" si="6"/>
        <v>-1.2836901917411332</v>
      </c>
      <c r="F96" s="26">
        <f t="shared" si="6"/>
        <v>-1.9094618997994308</v>
      </c>
      <c r="G96" t="s">
        <v>122</v>
      </c>
    </row>
    <row r="97" spans="2:7" x14ac:dyDescent="0.2">
      <c r="B97" s="55" t="s">
        <v>106</v>
      </c>
      <c r="C97" s="66">
        <v>-2.15</v>
      </c>
      <c r="D97" s="63">
        <v>-1.8</v>
      </c>
      <c r="E97" s="66">
        <v>-2.15</v>
      </c>
      <c r="F97" s="67">
        <v>-1.8</v>
      </c>
      <c r="G97" t="s">
        <v>82</v>
      </c>
    </row>
    <row r="98" spans="2:7" x14ac:dyDescent="0.2">
      <c r="B98" s="55" t="s">
        <v>111</v>
      </c>
      <c r="C98" s="23">
        <f>C$84*C94+C$97</f>
        <v>-2.4059513247259305</v>
      </c>
      <c r="D98" s="24">
        <f t="shared" ref="C98:D100" si="7">D$84*D94+D$97</f>
        <v>-1.9856812604909182</v>
      </c>
      <c r="E98" s="23">
        <f>C$84*E94+E$97</f>
        <v>-1.7391807791173768</v>
      </c>
      <c r="F98" s="24">
        <f>D$84*F94+F$97</f>
        <v>0.23688722487092773</v>
      </c>
      <c r="G98" t="s">
        <v>82</v>
      </c>
    </row>
    <row r="99" spans="2:7" x14ac:dyDescent="0.2">
      <c r="B99" s="55" t="s">
        <v>112</v>
      </c>
      <c r="C99" s="23">
        <f t="shared" si="7"/>
        <v>-2.4699175782646878</v>
      </c>
      <c r="D99" s="24">
        <f t="shared" si="7"/>
        <v>-2.0320296501378965</v>
      </c>
      <c r="E99" s="23">
        <f t="shared" ref="E99:F100" si="8">C$84*E95+E$97</f>
        <v>-1.6364975515394464</v>
      </c>
      <c r="F99" s="24">
        <f t="shared" si="8"/>
        <v>0.7460371056129087</v>
      </c>
      <c r="G99" t="s">
        <v>82</v>
      </c>
    </row>
    <row r="100" spans="2:7" x14ac:dyDescent="0.2">
      <c r="B100" s="55" t="s">
        <v>113</v>
      </c>
      <c r="C100" s="25">
        <f t="shared" si="7"/>
        <v>-2.5338694478007051</v>
      </c>
      <c r="D100" s="26">
        <f t="shared" si="7"/>
        <v>-2.0783300931090749</v>
      </c>
      <c r="E100" s="25">
        <f t="shared" si="8"/>
        <v>-1.5338287079642559</v>
      </c>
      <c r="F100" s="26">
        <f t="shared" si="8"/>
        <v>1.2551390396790894</v>
      </c>
      <c r="G100" t="s">
        <v>82</v>
      </c>
    </row>
    <row r="103" spans="2:7" x14ac:dyDescent="0.2">
      <c r="C103" s="1"/>
      <c r="D103" s="1"/>
      <c r="E103" s="1"/>
    </row>
    <row r="104" spans="2:7" x14ac:dyDescent="0.2">
      <c r="C104" s="1">
        <v>11.18</v>
      </c>
      <c r="D104" s="1">
        <v>5.5</v>
      </c>
      <c r="E104" s="1"/>
    </row>
    <row r="105" spans="2:7" x14ac:dyDescent="0.2">
      <c r="C105" s="1">
        <v>-1.76</v>
      </c>
      <c r="D105" s="1">
        <v>-1.1000000000000001</v>
      </c>
      <c r="E105" s="1"/>
    </row>
    <row r="114" spans="2:6" x14ac:dyDescent="0.2">
      <c r="C114" t="s">
        <v>137</v>
      </c>
    </row>
    <row r="115" spans="2:6" x14ac:dyDescent="0.2">
      <c r="C115" s="69" t="s">
        <v>141</v>
      </c>
      <c r="D115" t="s">
        <v>115</v>
      </c>
      <c r="E115" t="s">
        <v>117</v>
      </c>
      <c r="F115" t="s">
        <v>142</v>
      </c>
    </row>
    <row r="116" spans="2:6" x14ac:dyDescent="0.2">
      <c r="B116" t="s">
        <v>138</v>
      </c>
      <c r="C116">
        <f>0.8/1.4/2+0.5</f>
        <v>0.78571428571428581</v>
      </c>
      <c r="D116">
        <f>C116*SUM($C$64:$D$64)</f>
        <v>1343.4098838729929</v>
      </c>
      <c r="E116">
        <f>(1-C116)*SUM($C$64:$D$64)</f>
        <v>366.3845137835433</v>
      </c>
      <c r="F116">
        <f>(D116-E116)*0.12/100</f>
        <v>1.1724304441073394</v>
      </c>
    </row>
    <row r="117" spans="2:6" x14ac:dyDescent="0.2">
      <c r="B117" t="s">
        <v>139</v>
      </c>
      <c r="C117">
        <f>1/1.4/2+0.5</f>
        <v>0.85714285714285721</v>
      </c>
      <c r="D117">
        <f t="shared" ref="D117:D118" si="9">C117*SUM($C$64:$D$64)</f>
        <v>1465.5380551341739</v>
      </c>
      <c r="E117">
        <f t="shared" ref="E117:E118" si="10">(1-C117)*SUM($C$64:$D$64)</f>
        <v>244.25634252236219</v>
      </c>
      <c r="F117">
        <f t="shared" ref="F117:F118" si="11">(D117-E117)*0.12/100</f>
        <v>1.4655380551341739</v>
      </c>
    </row>
    <row r="118" spans="2:6" x14ac:dyDescent="0.2">
      <c r="B118" t="s">
        <v>140</v>
      </c>
      <c r="C118">
        <f>1.2/1.4/2+0.5</f>
        <v>0.9285714285714286</v>
      </c>
      <c r="D118">
        <f t="shared" si="9"/>
        <v>1587.6662263953551</v>
      </c>
      <c r="E118">
        <f t="shared" si="10"/>
        <v>122.12817126118109</v>
      </c>
      <c r="F118">
        <f t="shared" si="11"/>
        <v>1.7586456661610088</v>
      </c>
    </row>
    <row r="120" spans="2:6" x14ac:dyDescent="0.2">
      <c r="D120" t="s">
        <v>114</v>
      </c>
      <c r="E120" t="s">
        <v>116</v>
      </c>
      <c r="F120" t="s">
        <v>143</v>
      </c>
    </row>
    <row r="121" spans="2:6" x14ac:dyDescent="0.2">
      <c r="D121">
        <f>C116*SUM($C$63:$D$63)</f>
        <v>1338.2329732698647</v>
      </c>
      <c r="E121">
        <f>(1-C116)*SUM($C$63:$D$63)</f>
        <v>364.97262907359931</v>
      </c>
      <c r="F121">
        <f>(D121-E121)*$C$83/$I$10</f>
        <v>50.009424800598623</v>
      </c>
    </row>
    <row r="122" spans="2:6" x14ac:dyDescent="0.2">
      <c r="D122">
        <f t="shared" ref="D122:D123" si="12">C117*SUM($C$63:$D$63)</f>
        <v>1459.8905162943979</v>
      </c>
      <c r="E122">
        <f t="shared" ref="E122:E123" si="13">(1-C117)*SUM($C$63:$D$63)</f>
        <v>243.3150860490662</v>
      </c>
      <c r="F122">
        <f>(D122-E122)*$C$83/$I$10</f>
        <v>62.511781000748272</v>
      </c>
    </row>
    <row r="123" spans="2:6" x14ac:dyDescent="0.2">
      <c r="D123">
        <f t="shared" si="12"/>
        <v>1581.5480593189309</v>
      </c>
      <c r="E123">
        <f t="shared" si="13"/>
        <v>121.6575430245331</v>
      </c>
      <c r="F123">
        <f>(D123-E123)*$C$83/$I$10</f>
        <v>75.014137200897906</v>
      </c>
    </row>
  </sheetData>
  <mergeCells count="13">
    <mergeCell ref="B1:F1"/>
    <mergeCell ref="B62:F62"/>
    <mergeCell ref="B19:F19"/>
    <mergeCell ref="B80:E80"/>
    <mergeCell ref="B92:F92"/>
    <mergeCell ref="B73:D73"/>
    <mergeCell ref="E75:F75"/>
    <mergeCell ref="H8:K8"/>
    <mergeCell ref="B8:F8"/>
    <mergeCell ref="B3:F3"/>
    <mergeCell ref="B16:F16"/>
    <mergeCell ref="B68:D68"/>
    <mergeCell ref="B50:F50"/>
  </mergeCells>
  <hyperlinks>
    <hyperlink ref="E69" r:id="rId1" xr:uid="{E33E7B2A-A9C8-904F-A360-BF51267C881A}"/>
    <hyperlink ref="F85" r:id="rId2" location="post290077" display="Math is here" xr:uid="{8371BB9E-E194-2C47-8CD9-67AC53D7CA85}"/>
  </hyperlinks>
  <pageMargins left="0.7" right="0.7" top="0.75" bottom="0.75" header="0.3" footer="0.3"/>
  <pageSetup paperSize="5" scale="0" firstPageNumber="0" fitToWidth="0" fitToHeight="0" orientation="landscape" horizontalDpi="0" verticalDpi="0" copie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1CB5-7897-9F4C-91AF-A41615429668}">
  <dimension ref="A3:F33"/>
  <sheetViews>
    <sheetView topLeftCell="A7" workbookViewId="0">
      <selection activeCell="B30" sqref="B30"/>
    </sheetView>
  </sheetViews>
  <sheetFormatPr baseColWidth="10" defaultColWidth="10.83203125" defaultRowHeight="16" x14ac:dyDescent="0.2"/>
  <cols>
    <col min="1" max="1" width="6.5" bestFit="1" customWidth="1"/>
    <col min="2" max="2" width="21.5" bestFit="1" customWidth="1"/>
    <col min="3" max="3" width="19.33203125" bestFit="1" customWidth="1"/>
    <col min="4" max="4" width="18.5" bestFit="1" customWidth="1"/>
    <col min="5" max="5" width="12.33203125" bestFit="1" customWidth="1"/>
  </cols>
  <sheetData>
    <row r="3" spans="1:6" x14ac:dyDescent="0.2">
      <c r="B3" t="s">
        <v>90</v>
      </c>
    </row>
    <row r="4" spans="1:6" x14ac:dyDescent="0.2">
      <c r="A4" t="s">
        <v>99</v>
      </c>
      <c r="B4" t="s">
        <v>95</v>
      </c>
      <c r="C4" t="s">
        <v>96</v>
      </c>
      <c r="D4" t="s">
        <v>94</v>
      </c>
      <c r="E4" t="s">
        <v>92</v>
      </c>
      <c r="F4" t="s">
        <v>93</v>
      </c>
    </row>
    <row r="5" spans="1:6" x14ac:dyDescent="0.2">
      <c r="A5" s="12" t="s">
        <v>85</v>
      </c>
      <c r="B5">
        <v>95.65</v>
      </c>
      <c r="C5" s="1">
        <f>'CG and Roll'!$C$52-(B5/25.4)</f>
        <v>16.294023430560777</v>
      </c>
      <c r="D5" s="2">
        <f>C5/$C$7-1</f>
        <v>-0.12077289679347414</v>
      </c>
      <c r="E5">
        <v>-1.94</v>
      </c>
      <c r="F5">
        <v>1505.4</v>
      </c>
    </row>
    <row r="6" spans="1:6" x14ac:dyDescent="0.2">
      <c r="A6" s="12" t="s">
        <v>86</v>
      </c>
      <c r="B6">
        <v>67.45</v>
      </c>
      <c r="C6" s="1">
        <f>'CG and Roll'!$C$52-(B6/25.4)</f>
        <v>17.404259651033218</v>
      </c>
      <c r="D6" s="2">
        <f t="shared" ref="D6:D10" si="0">C6/$C$7-1</f>
        <v>-6.0864441391961899E-2</v>
      </c>
      <c r="E6">
        <v>-2.23</v>
      </c>
      <c r="F6">
        <v>1508.1</v>
      </c>
    </row>
    <row r="7" spans="1:6" x14ac:dyDescent="0.2">
      <c r="A7" s="12" t="s">
        <v>100</v>
      </c>
      <c r="B7">
        <v>38.799999999999997</v>
      </c>
      <c r="C7" s="1">
        <f>'CG and Roll'!$C$52-(B7/25.4)</f>
        <v>18.532212406938729</v>
      </c>
      <c r="D7" s="2">
        <f t="shared" si="0"/>
        <v>0</v>
      </c>
      <c r="E7">
        <v>-2.5</v>
      </c>
      <c r="F7">
        <v>1509.9</v>
      </c>
    </row>
    <row r="8" spans="1:6" x14ac:dyDescent="0.2">
      <c r="A8" s="12" t="s">
        <v>87</v>
      </c>
      <c r="B8">
        <v>9.6199999999999992</v>
      </c>
      <c r="C8" s="1">
        <f>'CG and Roll'!$C$52-(B8/25.4)</f>
        <v>19.681031304576525</v>
      </c>
      <c r="D8" s="2">
        <f t="shared" si="0"/>
        <v>6.1990380447380478E-2</v>
      </c>
      <c r="E8">
        <v>-2.74</v>
      </c>
      <c r="F8">
        <v>1510.7</v>
      </c>
    </row>
    <row r="9" spans="1:6" x14ac:dyDescent="0.2">
      <c r="A9" s="12" t="s">
        <v>88</v>
      </c>
      <c r="B9">
        <v>-20.2</v>
      </c>
      <c r="C9" s="1">
        <f>'CG and Roll'!$C$52-(B9/25.4)</f>
        <v>20.855047052608022</v>
      </c>
      <c r="D9" s="2">
        <f t="shared" si="0"/>
        <v>0.12534038541451142</v>
      </c>
      <c r="E9">
        <v>-2.96</v>
      </c>
      <c r="F9">
        <v>1510.6</v>
      </c>
    </row>
    <row r="10" spans="1:6" x14ac:dyDescent="0.2">
      <c r="A10" s="12" t="s">
        <v>89</v>
      </c>
      <c r="B10">
        <v>-50.8</v>
      </c>
      <c r="C10" s="1">
        <f>'CG and Roll'!$C$52-(B10/25.4)</f>
        <v>22.05977146205684</v>
      </c>
      <c r="D10" s="2">
        <f t="shared" si="0"/>
        <v>0.1903474327650887</v>
      </c>
      <c r="E10">
        <v>-3.14</v>
      </c>
      <c r="F10">
        <v>1509.4</v>
      </c>
    </row>
    <row r="26" spans="1:6" x14ac:dyDescent="0.2">
      <c r="B26" t="s">
        <v>91</v>
      </c>
    </row>
    <row r="27" spans="1:6" x14ac:dyDescent="0.2">
      <c r="A27" t="s">
        <v>99</v>
      </c>
      <c r="B27" t="s">
        <v>95</v>
      </c>
      <c r="C27" t="s">
        <v>96</v>
      </c>
      <c r="D27" t="s">
        <v>94</v>
      </c>
      <c r="E27" t="s">
        <v>97</v>
      </c>
      <c r="F27" t="s">
        <v>98</v>
      </c>
    </row>
    <row r="28" spans="1:6" x14ac:dyDescent="0.2">
      <c r="A28" s="12" t="s">
        <v>85</v>
      </c>
      <c r="B28">
        <v>132</v>
      </c>
      <c r="C28" s="1">
        <f>'CG and Roll'!$C$52-(B28/25.4)</f>
        <v>14.862921068356052</v>
      </c>
      <c r="D28" s="2">
        <f t="shared" ref="D28:D29" si="1">C28/$C$30-1</f>
        <v>0</v>
      </c>
      <c r="E28">
        <v>0.37</v>
      </c>
      <c r="F28">
        <v>1473.5</v>
      </c>
    </row>
    <row r="29" spans="1:6" x14ac:dyDescent="0.2">
      <c r="A29" s="12" t="s">
        <v>86</v>
      </c>
      <c r="B29">
        <v>132</v>
      </c>
      <c r="C29" s="1">
        <f>'CG and Roll'!$C$52-(B29/25.4)</f>
        <v>14.862921068356052</v>
      </c>
      <c r="D29" s="2">
        <f t="shared" si="1"/>
        <v>0</v>
      </c>
      <c r="E29">
        <v>-0.52</v>
      </c>
      <c r="F29">
        <v>1484.1</v>
      </c>
    </row>
    <row r="30" spans="1:6" x14ac:dyDescent="0.2">
      <c r="A30" s="12" t="s">
        <v>100</v>
      </c>
      <c r="B30">
        <v>132</v>
      </c>
      <c r="C30" s="1">
        <f>'CG and Roll'!$C$52-(B30/25.4)</f>
        <v>14.862921068356052</v>
      </c>
      <c r="D30" s="2">
        <f>C30/$C$30-1</f>
        <v>0</v>
      </c>
      <c r="E30">
        <v>-1.4</v>
      </c>
      <c r="F30">
        <v>1494</v>
      </c>
    </row>
    <row r="31" spans="1:6" x14ac:dyDescent="0.2">
      <c r="A31" s="12" t="s">
        <v>87</v>
      </c>
      <c r="B31">
        <v>132</v>
      </c>
      <c r="C31" s="1">
        <f>'CG and Roll'!$C$52-(B31/25.4)</f>
        <v>14.862921068356052</v>
      </c>
      <c r="D31" s="2">
        <f t="shared" ref="D31:D33" si="2">C31/$C$30-1</f>
        <v>0</v>
      </c>
      <c r="E31">
        <v>-2.2799999999999998</v>
      </c>
      <c r="F31">
        <v>1503.3</v>
      </c>
    </row>
    <row r="32" spans="1:6" x14ac:dyDescent="0.2">
      <c r="A32" s="12" t="s">
        <v>88</v>
      </c>
      <c r="B32">
        <v>132</v>
      </c>
      <c r="C32" s="1">
        <f>'CG and Roll'!$C$52-(B32/25.4)</f>
        <v>14.862921068356052</v>
      </c>
      <c r="D32" s="2">
        <f t="shared" si="2"/>
        <v>0</v>
      </c>
      <c r="E32">
        <v>-3.15</v>
      </c>
      <c r="F32">
        <v>1512.1</v>
      </c>
    </row>
    <row r="33" spans="1:6" x14ac:dyDescent="0.2">
      <c r="A33" s="12" t="s">
        <v>89</v>
      </c>
      <c r="B33">
        <v>132</v>
      </c>
      <c r="C33" s="1">
        <f>'CG and Roll'!$C$52-(B33/25.4)</f>
        <v>14.862921068356052</v>
      </c>
      <c r="D33" s="2">
        <f t="shared" si="2"/>
        <v>0</v>
      </c>
      <c r="E33">
        <v>-4.01</v>
      </c>
      <c r="F33">
        <v>1520.2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CG and Roll</vt:lpstr>
      <vt:lpstr>Roll Center Heights</vt:lpstr>
      <vt:lpstr>xcm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Bryson Gentile</cp:lastModifiedBy>
  <dcterms:created xsi:type="dcterms:W3CDTF">2023-01-30T22:16:27Z</dcterms:created>
  <dcterms:modified xsi:type="dcterms:W3CDTF">2025-08-13T05:02:21Z</dcterms:modified>
</cp:coreProperties>
</file>